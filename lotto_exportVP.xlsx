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spr805\Documents\Git projecten\OOSD I\H05\H05_oefOpl\"/>
    </mc:Choice>
  </mc:AlternateContent>
  <xr:revisionPtr revIDLastSave="0" documentId="13_ncr:1_{5EB51B6D-AE81-41F8-82F3-278ED8B58C55}" xr6:coauthVersionLast="47" xr6:coauthVersionMax="47" xr10:uidLastSave="{00000000-0000-0000-0000-000000000000}"/>
  <bookViews>
    <workbookView xWindow="760" yWindow="760" windowWidth="14400" windowHeight="7280" xr2:uid="{00000000-000D-0000-FFFF-FFFF00000000}"/>
  </bookViews>
  <sheets>
    <sheet name="DCD2" sheetId="1" r:id="rId1"/>
    <sheet name="References" sheetId="2" r:id="rId2"/>
    <sheet name="Diagram Parent Model" sheetId="3" r:id="rId3"/>
    <sheet name="System Data" sheetId="4" r:id="rId4"/>
  </sheets>
  <externalReferences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4" i="1" l="1"/>
  <c r="AH5" i="1"/>
  <c r="AH6" i="1"/>
  <c r="AH7" i="1"/>
  <c r="AH8" i="1"/>
  <c r="AH9" i="1"/>
  <c r="AH10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" i="1"/>
  <c r="AY26" i="1" l="1"/>
  <c r="AX26" i="1" s="1"/>
  <c r="AY19" i="1"/>
  <c r="AX19" i="1" s="1"/>
  <c r="AY31" i="1"/>
  <c r="AX31" i="1" s="1"/>
  <c r="AZ31" i="1"/>
  <c r="AZ29" i="1"/>
  <c r="AZ32" i="1"/>
  <c r="AZ13" i="1"/>
  <c r="AH13" i="1" s="1"/>
  <c r="AY25" i="1"/>
  <c r="AX25" i="1" s="1"/>
  <c r="AZ17" i="1"/>
  <c r="AZ20" i="1"/>
  <c r="AZ25" i="1"/>
  <c r="AY27" i="1"/>
  <c r="AX27" i="1" s="1"/>
  <c r="AY15" i="1"/>
  <c r="AX15" i="1" s="1"/>
  <c r="AY8" i="1"/>
  <c r="AX8" i="1" s="1"/>
  <c r="AY28" i="1"/>
  <c r="AX28" i="1" s="1"/>
  <c r="AY6" i="1"/>
  <c r="AX6" i="1" s="1"/>
  <c r="AY30" i="1"/>
  <c r="AX30" i="1" s="1"/>
  <c r="AY20" i="1"/>
  <c r="AX20" i="1" s="1"/>
  <c r="AZ14" i="1"/>
  <c r="AH14" i="1" s="1"/>
  <c r="AZ19" i="1"/>
  <c r="AZ24" i="1"/>
  <c r="AZ6" i="1"/>
  <c r="AY9" i="1"/>
  <c r="AX9" i="1" s="1"/>
  <c r="AY24" i="1"/>
  <c r="AX24" i="1" s="1"/>
  <c r="AZ7" i="1"/>
  <c r="AY35" i="1"/>
  <c r="AX35" i="1" s="1"/>
  <c r="AY22" i="1"/>
  <c r="AX22" i="1" s="1"/>
  <c r="AY7" i="1"/>
  <c r="AX7" i="1" s="1"/>
  <c r="AY10" i="1"/>
  <c r="AX10" i="1" s="1"/>
  <c r="AZ4" i="1"/>
  <c r="AZ35" i="1"/>
  <c r="AZ10" i="1"/>
  <c r="AY14" i="1"/>
  <c r="AX14" i="1" s="1"/>
  <c r="AZ30" i="1"/>
  <c r="AY5" i="1"/>
  <c r="AX5" i="1" s="1"/>
  <c r="AY18" i="1"/>
  <c r="AX18" i="1" s="1"/>
  <c r="AY33" i="1"/>
  <c r="AX33" i="1" s="1"/>
  <c r="AY32" i="1"/>
  <c r="AX32" i="1" s="1"/>
  <c r="AZ18" i="1"/>
  <c r="AZ22" i="1"/>
  <c r="AZ12" i="1"/>
  <c r="AH12" i="1" s="1"/>
  <c r="AZ16" i="1"/>
  <c r="AZ9" i="1"/>
  <c r="AY29" i="1"/>
  <c r="AX29" i="1" s="1"/>
  <c r="AY17" i="1"/>
  <c r="AX17" i="1" s="1"/>
  <c r="AZ15" i="1"/>
  <c r="AZ28" i="1"/>
  <c r="AZ27" i="1"/>
  <c r="AZ33" i="1"/>
  <c r="AZ26" i="1"/>
  <c r="AZ23" i="1"/>
  <c r="AY21" i="1"/>
  <c r="AX21" i="1" s="1"/>
  <c r="AZ11" i="1"/>
  <c r="AH11" i="1" s="1"/>
  <c r="AY11" i="1"/>
  <c r="AX11" i="1" s="1"/>
  <c r="AZ8" i="1"/>
  <c r="AY3" i="1"/>
  <c r="AX3" i="1" s="1"/>
  <c r="AZ3" i="1"/>
  <c r="AY12" i="1"/>
  <c r="AX12" i="1" s="1"/>
  <c r="AY16" i="1"/>
  <c r="AX16" i="1" s="1"/>
  <c r="AY13" i="1"/>
  <c r="AX13" i="1" s="1"/>
  <c r="AY34" i="1"/>
  <c r="AX34" i="1" s="1"/>
  <c r="AY23" i="1"/>
  <c r="AX23" i="1" s="1"/>
  <c r="AY4" i="1"/>
  <c r="AX4" i="1" s="1"/>
  <c r="AZ34" i="1"/>
  <c r="AZ21" i="1"/>
  <c r="AZ5" i="1"/>
</calcChain>
</file>

<file path=xl/sharedStrings.xml><?xml version="1.0" encoding="utf-8"?>
<sst xmlns="http://schemas.openxmlformats.org/spreadsheetml/2006/main" count="764" uniqueCount="217">
  <si>
    <t/>
  </si>
  <si>
    <t>ID</t>
  </si>
  <si>
    <t>Name</t>
  </si>
  <si>
    <t>Type</t>
  </si>
  <si>
    <t>Description</t>
  </si>
  <si>
    <t>Parent Model</t>
  </si>
  <si>
    <t>Model ID</t>
  </si>
  <si>
    <t>Stereotypes</t>
  </si>
  <si>
    <t>Visibility</t>
  </si>
  <si>
    <t>Abstract</t>
  </si>
  <si>
    <t>Leaf</t>
  </si>
  <si>
    <t>Root</t>
  </si>
  <si>
    <t>Active</t>
  </si>
  <si>
    <t>Business model</t>
  </si>
  <si>
    <t>Transit From</t>
  </si>
  <si>
    <t>Transit To</t>
  </si>
  <si>
    <t>Return type</t>
  </si>
  <si>
    <t>Type Modifier</t>
  </si>
  <si>
    <t>Scope</t>
  </si>
  <si>
    <t>Lower</t>
  </si>
  <si>
    <t>Upper</t>
  </si>
  <si>
    <t>Body condition</t>
  </si>
  <si>
    <t>Query</t>
  </si>
  <si>
    <t>Ordered</t>
  </si>
  <si>
    <t>Unique</t>
  </si>
  <si>
    <t>Visible</t>
  </si>
  <si>
    <t>Direction</t>
  </si>
  <si>
    <t>Default Value</t>
  </si>
  <si>
    <t>Multiplicity</t>
  </si>
  <si>
    <t>Initial value</t>
  </si>
  <si>
    <t>Aggregation</t>
  </si>
  <si>
    <t>Derived</t>
  </si>
  <si>
    <t>Setter</t>
  </si>
  <si>
    <t>Getter</t>
  </si>
  <si>
    <t>From</t>
  </si>
  <si>
    <t>From Role</t>
  </si>
  <si>
    <t>From Multiplicity</t>
  </si>
  <si>
    <t>From Navigable</t>
  </si>
  <si>
    <t>From Aggregation Kind</t>
  </si>
  <si>
    <t>To</t>
  </si>
  <si>
    <t>To Role</t>
  </si>
  <si>
    <t>To Multiplicity</t>
  </si>
  <si>
    <t>To Navigable</t>
  </si>
  <si>
    <t>To Aggregation Kind</t>
  </si>
  <si>
    <t>ORM Collection Type</t>
  </si>
  <si>
    <t>Diagram ID</t>
  </si>
  <si>
    <t>Diagram Name</t>
  </si>
  <si>
    <t>Parent ID</t>
  </si>
  <si>
    <t>Parent Name</t>
  </si>
  <si>
    <t>Delete ?</t>
  </si>
  <si>
    <t>Diagram</t>
  </si>
  <si>
    <t>1</t>
  </si>
  <si>
    <t>DCD2</t>
  </si>
  <si>
    <t>ClassDiagram</t>
  </si>
  <si>
    <t>2</t>
  </si>
  <si>
    <t>No</t>
  </si>
  <si>
    <t>Class</t>
  </si>
  <si>
    <t>3</t>
  </si>
  <si>
    <t>TrekkingRepository</t>
  </si>
  <si>
    <t>4</t>
  </si>
  <si>
    <t>public</t>
  </si>
  <si>
    <t>Design Model.domein_UC_Registreer_Trekking.TrekkingRepository</t>
  </si>
  <si>
    <t>domein</t>
  </si>
  <si>
    <t>Operation</t>
  </si>
  <si>
    <t>5</t>
  </si>
  <si>
    <t>Design Model.domein_UC_Registreer_Trekking.TrekkingRepository.TrekkingRepository</t>
  </si>
  <si>
    <t>instance</t>
  </si>
  <si>
    <t>Yes</t>
  </si>
  <si>
    <t>6</t>
  </si>
  <si>
    <t>voegTrekkingToe</t>
  </si>
  <si>
    <t>Design Model.domein_UC_Registreer_Trekking.TrekkingRepository.voegTrekkingToe</t>
  </si>
  <si>
    <t>void</t>
  </si>
  <si>
    <t>Parameter</t>
  </si>
  <si>
    <t>7</t>
  </si>
  <si>
    <t>trekking</t>
  </si>
  <si>
    <t>Design Model.domein_UC_Controleer_Nummers.domein.Trekking</t>
  </si>
  <si>
    <t>inout</t>
  </si>
  <si>
    <t>Unspecified</t>
  </si>
  <si>
    <t>8</t>
  </si>
  <si>
    <t>getTrekkingen</t>
  </si>
  <si>
    <t>List&lt;Design Model.domein_UC_Controleer_Nummers.domein.Trekking&gt;</t>
  </si>
  <si>
    <t>9</t>
  </si>
  <si>
    <t>geefTrekking</t>
  </si>
  <si>
    <t>10</t>
  </si>
  <si>
    <t>naam</t>
  </si>
  <si>
    <t>String</t>
  </si>
  <si>
    <t>11</t>
  </si>
  <si>
    <t>Trekking</t>
  </si>
  <si>
    <t>12</t>
  </si>
  <si>
    <t>Design Model.domein_UC_Registreer_Trekking.Trekking</t>
  </si>
  <si>
    <t>Attribute</t>
  </si>
  <si>
    <t>13</t>
  </si>
  <si>
    <t>private</t>
  </si>
  <si>
    <t>Design Model.domein_UC_Registreer_Trekking.Trekking.naam</t>
  </si>
  <si>
    <t>None</t>
  </si>
  <si>
    <t>14</t>
  </si>
  <si>
    <t>datum</t>
  </si>
  <si>
    <t>LocalDate</t>
  </si>
  <si>
    <t>15</t>
  </si>
  <si>
    <t>nummers</t>
  </si>
  <si>
    <t>List&lt;Integer&gt;</t>
  </si>
  <si>
    <t>Design Model.domein_UC_Registreer_Trekking.Trekking.nummers</t>
  </si>
  <si>
    <t>16</t>
  </si>
  <si>
    <t>AANTAL_NUMMERS</t>
  </si>
  <si>
    <t>int</t>
  </si>
  <si>
    <t>classifier</t>
  </si>
  <si>
    <t>17</t>
  </si>
  <si>
    <t>Design Model.domein_UC_Registreer_Trekking.Trekking.Trekking</t>
  </si>
  <si>
    <t>18</t>
  </si>
  <si>
    <t>19</t>
  </si>
  <si>
    <t>20</t>
  </si>
  <si>
    <t>21</t>
  </si>
  <si>
    <t>geefWinst</t>
  </si>
  <si>
    <t>22</t>
  </si>
  <si>
    <t>23</t>
  </si>
  <si>
    <t>DomeinController</t>
  </si>
  <si>
    <t>24</t>
  </si>
  <si>
    <t>Design Model.domein_UC_Registreer_Trekking.DomeinController</t>
  </si>
  <si>
    <t>25</t>
  </si>
  <si>
    <t>Design Model.domein_UC_Registreer_Trekking.DomeinController.DomeinController</t>
  </si>
  <si>
    <t>26</t>
  </si>
  <si>
    <t>registreerTrekking</t>
  </si>
  <si>
    <t>Design Model.domein_UC_Registreer_Trekking.DomeinController.registreerTrekking</t>
  </si>
  <si>
    <t>27</t>
  </si>
  <si>
    <t>28</t>
  </si>
  <si>
    <t>29</t>
  </si>
  <si>
    <t>30</t>
  </si>
  <si>
    <t>geefAlleTrekkingen</t>
  </si>
  <si>
    <t>List&lt;TrekkingDTO&gt;</t>
  </si>
  <si>
    <t>31</t>
  </si>
  <si>
    <t>selecteerTrekking</t>
  </si>
  <si>
    <t>32</t>
  </si>
  <si>
    <t>33</t>
  </si>
  <si>
    <t>geefDetailsGeselecteerdeTrekking</t>
  </si>
  <si>
    <t>TrekkingDTO</t>
  </si>
  <si>
    <t>34</t>
  </si>
  <si>
    <t>35</t>
  </si>
  <si>
    <t>Association</t>
  </si>
  <si>
    <t>36</t>
  </si>
  <si>
    <t>38</t>
  </si>
  <si>
    <t>relationships.Association.unnamed_Association37</t>
  </si>
  <si>
    <t>False</t>
  </si>
  <si>
    <t>trekkingen</t>
  </si>
  <si>
    <t>*</t>
  </si>
  <si>
    <t>True</t>
  </si>
  <si>
    <t>39</t>
  </si>
  <si>
    <t>40</t>
  </si>
  <si>
    <t>42</t>
  </si>
  <si>
    <t>relationships.Association.unnamed_Association41</t>
  </si>
  <si>
    <t>trekkingRepo</t>
  </si>
  <si>
    <t>43</t>
  </si>
  <si>
    <t>44</t>
  </si>
  <si>
    <t>geselecteerdeTrekking</t>
  </si>
  <si>
    <t>0..1</t>
  </si>
  <si>
    <t>References</t>
  </si>
  <si>
    <t>Reference ID</t>
  </si>
  <si>
    <t>Reference Name</t>
  </si>
  <si>
    <t>URL</t>
  </si>
  <si>
    <t>Diagram Parent Model</t>
  </si>
  <si>
    <t>Package</t>
  </si>
  <si>
    <t>45</t>
  </si>
  <si>
    <t>domein_UC_Controleer_Nummers</t>
  </si>
  <si>
    <t>Model</t>
  </si>
  <si>
    <t>46</t>
  </si>
  <si>
    <t>Design Model</t>
  </si>
  <si>
    <t>WARNING: Do NOT modify this sheet</t>
  </si>
  <si>
    <t>20250813</t>
  </si>
  <si>
    <t>false</t>
  </si>
  <si>
    <t>0e47f23f355187d2c692d18bf467b61c</t>
  </si>
  <si>
    <t>w9jjsK6GAqAAlQpt</t>
  </si>
  <si>
    <t>8VIw9KGFYEg8BA94</t>
  </si>
  <si>
    <t>gjjjsK6GAqAAlQqM</t>
  </si>
  <si>
    <t>QjjjsK6GAqAAlQqO</t>
  </si>
  <si>
    <t>wjjjsK6GAqAAlQqP</t>
  </si>
  <si>
    <t>IjjjsK6GAqAAlQqQ</t>
  </si>
  <si>
    <t>ojjjsK6GAqAAlQqR</t>
  </si>
  <si>
    <t>Bmah_FmAUAACUAnF</t>
  </si>
  <si>
    <t>KiwTsK6GAqAAlQrQ</t>
  </si>
  <si>
    <t>KFYTsK6GAqAAlQrU</t>
  </si>
  <si>
    <t>7DjjsK6GAqAAlQp.</t>
  </si>
  <si>
    <t>HDjjsK6GAqAAlQqA</t>
  </si>
  <si>
    <t>XDjjsK6GAqAAlQqG</t>
  </si>
  <si>
    <t>sDFA9KGFYEg8BAkO</t>
  </si>
  <si>
    <t>PDjjsK6GAqAAlQqH</t>
  </si>
  <si>
    <t>921A9KGFYEg8BAke</t>
  </si>
  <si>
    <t>nDjjsK6GAqAAlQqB</t>
  </si>
  <si>
    <t>nDjjsK6GAqAAlQqC</t>
  </si>
  <si>
    <t>dTQA9KGFYEg8BAjG</t>
  </si>
  <si>
    <t>XDjjsK6GAqAAlQqD</t>
  </si>
  <si>
    <t>CkLx_FmAUAACUAnW</t>
  </si>
  <si>
    <t>cV75_FmAUAACUApH</t>
  </si>
  <si>
    <t>lDjjsK6GAqAAlQpz</t>
  </si>
  <si>
    <t>lDjjsK6GAqAAlQp1</t>
  </si>
  <si>
    <t>NDjjsK6GAqAAlQp2</t>
  </si>
  <si>
    <t>tDjjsK6GAqAAlQp3</t>
  </si>
  <si>
    <t>dDjjsK6GAqAAlQp4</t>
  </si>
  <si>
    <t>1dIA9KGFYEg8BAjV</t>
  </si>
  <si>
    <t>dDjjsK6GAqAAlQp5</t>
  </si>
  <si>
    <t>kQqB_FmAUAACUAmC</t>
  </si>
  <si>
    <t>rWLjsK6GAqAAlQq7</t>
  </si>
  <si>
    <t>CZ7jsK6GAqAAlQq9</t>
  </si>
  <si>
    <t>txGB_FmAUAACUAmP</t>
  </si>
  <si>
    <t>bRDB_FmAUAACUAm3</t>
  </si>
  <si>
    <t>ERr5_FmAUAACUAo9</t>
  </si>
  <si>
    <t>UjjjsK6GAqAAlQqU</t>
  </si>
  <si>
    <t>37</t>
  </si>
  <si>
    <t>AUDgsK6FYEg4JRfN</t>
  </si>
  <si>
    <t>0jjjsK6GAqAAlQqW</t>
  </si>
  <si>
    <t>dfPgsK6FYEg4JRfv</t>
  </si>
  <si>
    <t>ajjjsK6GAqAAlQql</t>
  </si>
  <si>
    <t>41</t>
  </si>
  <si>
    <t>etbgsK6FYEg4JRfi</t>
  </si>
  <si>
    <t>ajjjsK6GAqAAlQqn</t>
  </si>
  <si>
    <t>.6NTsK6GAqAAlQsR</t>
  </si>
  <si>
    <t>U6NTsK6GAqAAlQsM</t>
  </si>
  <si>
    <t>3xSjsK6GAqAAlQpQ</t>
  </si>
  <si>
    <t>sQwfMK6FYEg4JRSQ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</si>
</sst>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</font>
    <font>
      <sz val="11"/>
      <color indexed="8"/>
      <name val="Calibri"/>
    </font>
    <font>
      <b/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2" xfId="0" applyFont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0" fontId="2" fillId="0" borderId="1" xfId="0" applyFont="1" applyBorder="1"/>
    <xf numFmtId="0" fontId="1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spr805\Documents\Git%20projecten\OOSD%20I\H05\H05_oefOpl\lotto_stappen.xlsx" TargetMode="External"/><Relationship Id="rId1" Type="http://schemas.openxmlformats.org/officeDocument/2006/relationships/externalLinkPath" Target="lotto_stappe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K1" t="str">
            <v>ID VP (nr)</v>
          </cell>
          <cell r="N1" t="str">
            <v>AX</v>
          </cell>
          <cell r="O1" t="str">
            <v>AH</v>
          </cell>
        </row>
        <row r="2">
          <cell r="K2" t="str">
            <v>23</v>
          </cell>
          <cell r="N2" t="str">
            <v>No</v>
          </cell>
          <cell r="O2" t="str">
            <v/>
          </cell>
        </row>
        <row r="3">
          <cell r="K3" t="str">
            <v>26</v>
          </cell>
          <cell r="N3" t="str">
            <v>No</v>
          </cell>
          <cell r="O3" t="str">
            <v/>
          </cell>
        </row>
        <row r="4">
          <cell r="K4" t="str">
            <v>27</v>
          </cell>
          <cell r="N4" t="str">
            <v>No</v>
          </cell>
          <cell r="O4" t="str">
            <v/>
          </cell>
        </row>
        <row r="5">
          <cell r="K5" t="str">
            <v>28</v>
          </cell>
          <cell r="N5" t="str">
            <v>No</v>
          </cell>
          <cell r="O5" t="str">
            <v/>
          </cell>
        </row>
        <row r="6">
          <cell r="K6" t="str">
            <v>29</v>
          </cell>
          <cell r="N6" t="str">
            <v>No</v>
          </cell>
          <cell r="O6" t="str">
            <v/>
          </cell>
        </row>
        <row r="7">
          <cell r="K7" t="str">
            <v>11</v>
          </cell>
          <cell r="N7" t="str">
            <v>No</v>
          </cell>
          <cell r="O7" t="str">
            <v/>
          </cell>
        </row>
        <row r="8">
          <cell r="K8" t="str">
            <v>13</v>
          </cell>
          <cell r="N8" t="str">
            <v>No</v>
          </cell>
          <cell r="O8" t="str">
            <v>No</v>
          </cell>
        </row>
        <row r="9">
          <cell r="K9" t="str">
            <v>14</v>
          </cell>
          <cell r="N9" t="str">
            <v>No</v>
          </cell>
          <cell r="O9" t="str">
            <v>No</v>
          </cell>
        </row>
        <row r="10">
          <cell r="K10" t="str">
            <v>15</v>
          </cell>
          <cell r="N10" t="str">
            <v>No</v>
          </cell>
          <cell r="O10" t="str">
            <v>No</v>
          </cell>
        </row>
        <row r="11">
          <cell r="K11" t="str">
            <v>16</v>
          </cell>
          <cell r="N11" t="str">
            <v>No</v>
          </cell>
          <cell r="O11" t="str">
            <v>No</v>
          </cell>
        </row>
        <row r="12">
          <cell r="K12" t="str">
            <v>17</v>
          </cell>
          <cell r="N12" t="str">
            <v>No</v>
          </cell>
          <cell r="O12" t="str">
            <v/>
          </cell>
        </row>
        <row r="13">
          <cell r="K13" t="str">
            <v>18</v>
          </cell>
          <cell r="N13" t="str">
            <v>No</v>
          </cell>
          <cell r="O13" t="str">
            <v/>
          </cell>
        </row>
        <row r="14">
          <cell r="K14" t="str">
            <v>19</v>
          </cell>
          <cell r="N14" t="str">
            <v>No</v>
          </cell>
          <cell r="O14" t="str">
            <v/>
          </cell>
        </row>
        <row r="15">
          <cell r="K15" t="str">
            <v>20</v>
          </cell>
          <cell r="N15" t="str">
            <v>No</v>
          </cell>
          <cell r="O15" t="str">
            <v/>
          </cell>
        </row>
        <row r="16">
          <cell r="K16" t="str">
            <v>3</v>
          </cell>
          <cell r="N16" t="str">
            <v>No</v>
          </cell>
          <cell r="O16" t="str">
            <v/>
          </cell>
        </row>
        <row r="17">
          <cell r="K17" t="str">
            <v>36</v>
          </cell>
          <cell r="N17" t="str">
            <v>No</v>
          </cell>
          <cell r="O17" t="str">
            <v/>
          </cell>
        </row>
        <row r="18">
          <cell r="K18" t="str">
            <v>5</v>
          </cell>
          <cell r="N18" t="str">
            <v>No</v>
          </cell>
          <cell r="O18" t="str">
            <v/>
          </cell>
        </row>
        <row r="19">
          <cell r="K19" t="str">
            <v>25</v>
          </cell>
          <cell r="N19" t="str">
            <v>No</v>
          </cell>
          <cell r="O19" t="str">
            <v/>
          </cell>
        </row>
        <row r="20">
          <cell r="K20" t="str">
            <v>40</v>
          </cell>
          <cell r="N20" t="str">
            <v>No</v>
          </cell>
          <cell r="O20" t="str">
            <v/>
          </cell>
        </row>
        <row r="21">
          <cell r="K21" t="str">
            <v>6</v>
          </cell>
          <cell r="N21" t="str">
            <v>No</v>
          </cell>
          <cell r="O21" t="str">
            <v/>
          </cell>
        </row>
        <row r="22">
          <cell r="K22" t="str">
            <v>7</v>
          </cell>
          <cell r="N22" t="str">
            <v>No</v>
          </cell>
          <cell r="O22" t="str">
            <v/>
          </cell>
        </row>
        <row r="23">
          <cell r="K23" t="str">
            <v>30</v>
          </cell>
          <cell r="N23" t="str">
            <v>No</v>
          </cell>
          <cell r="O23" t="str">
            <v/>
          </cell>
        </row>
        <row r="24">
          <cell r="K24" t="str">
            <v>8</v>
          </cell>
          <cell r="N24" t="str">
            <v>No</v>
          </cell>
          <cell r="O24" t="str">
            <v/>
          </cell>
        </row>
        <row r="25">
          <cell r="K25" t="str">
            <v>14</v>
          </cell>
          <cell r="N25" t="str">
            <v>No</v>
          </cell>
          <cell r="O25" t="str">
            <v>Yes</v>
          </cell>
        </row>
        <row r="26">
          <cell r="K26" t="str">
            <v>13</v>
          </cell>
          <cell r="N26" t="str">
            <v>No</v>
          </cell>
          <cell r="O26" t="str">
            <v>Yes</v>
          </cell>
        </row>
        <row r="27">
          <cell r="K27" t="str">
            <v>31</v>
          </cell>
          <cell r="N27" t="str">
            <v>No</v>
          </cell>
          <cell r="O27" t="str">
            <v/>
          </cell>
        </row>
        <row r="28">
          <cell r="K28" t="str">
            <v>32</v>
          </cell>
          <cell r="N28" t="str">
            <v>No</v>
          </cell>
          <cell r="O28" t="str">
            <v/>
          </cell>
        </row>
        <row r="29">
          <cell r="K29" t="str">
            <v>9</v>
          </cell>
          <cell r="N29" t="str">
            <v>No</v>
          </cell>
          <cell r="O29" t="str">
            <v/>
          </cell>
        </row>
        <row r="30">
          <cell r="K30" t="str">
            <v>10</v>
          </cell>
          <cell r="N30" t="str">
            <v>No</v>
          </cell>
          <cell r="O30" t="str">
            <v/>
          </cell>
        </row>
        <row r="31">
          <cell r="K31" t="str">
            <v>43</v>
          </cell>
          <cell r="N31" t="str">
            <v>No</v>
          </cell>
          <cell r="O31" t="str">
            <v/>
          </cell>
        </row>
        <row r="32">
          <cell r="K32" t="str">
            <v>33</v>
          </cell>
          <cell r="N32" t="str">
            <v>No</v>
          </cell>
          <cell r="O32" t="str">
            <v/>
          </cell>
        </row>
        <row r="33">
          <cell r="K33" t="str">
            <v>34</v>
          </cell>
          <cell r="N33" t="str">
            <v>No</v>
          </cell>
          <cell r="O33" t="str">
            <v/>
          </cell>
        </row>
        <row r="34">
          <cell r="K34" t="str">
            <v>35</v>
          </cell>
          <cell r="N34" t="str">
            <v>No</v>
          </cell>
          <cell r="O34" t="str">
            <v/>
          </cell>
        </row>
        <row r="35">
          <cell r="K35" t="str">
            <v>21</v>
          </cell>
          <cell r="N35" t="str">
            <v>No</v>
          </cell>
          <cell r="O35" t="str">
            <v/>
          </cell>
        </row>
        <row r="36">
          <cell r="K36" t="str">
            <v>22</v>
          </cell>
          <cell r="N36" t="str">
            <v>No</v>
          </cell>
          <cell r="O36" t="str">
            <v/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5"/>
  <sheetViews>
    <sheetView tabSelected="1" workbookViewId="0">
      <selection activeCell="M14" sqref="M14"/>
    </sheetView>
  </sheetViews>
  <sheetFormatPr defaultRowHeight="14.5" x14ac:dyDescent="0.35"/>
  <cols>
    <col min="1" max="1" width="11.54296875" bestFit="1" customWidth="1"/>
    <col min="2" max="2" width="3.1796875" bestFit="1" customWidth="1"/>
    <col min="3" max="3" width="31.54296875" bestFit="1" customWidth="1"/>
    <col min="4" max="4" width="32" customWidth="1"/>
    <col min="5" max="5" width="11.36328125" customWidth="1"/>
    <col min="6" max="6" width="13.453125" customWidth="1"/>
    <col min="7" max="7" width="9.26953125" customWidth="1"/>
    <col min="8" max="8" width="11.90625" customWidth="1"/>
    <col min="9" max="9" width="11.36328125" customWidth="1"/>
    <col min="10" max="10" width="8.7265625" customWidth="1"/>
    <col min="11" max="11" width="4.7265625" customWidth="1"/>
    <col min="12" max="12" width="5.26953125" customWidth="1"/>
    <col min="13" max="13" width="6.7265625" customWidth="1"/>
    <col min="14" max="14" width="15.08984375" customWidth="1"/>
    <col min="15" max="15" width="32" customWidth="1"/>
    <col min="16" max="16" width="10.08984375" customWidth="1"/>
    <col min="17" max="17" width="32" customWidth="1"/>
    <col min="18" max="18" width="13.90625" customWidth="1"/>
    <col min="19" max="19" width="8.7265625" customWidth="1"/>
    <col min="20" max="21" width="6.54296875" customWidth="1"/>
    <col min="22" max="22" width="14.7265625" customWidth="1"/>
    <col min="23" max="23" width="6.54296875" customWidth="1"/>
    <col min="24" max="24" width="8.6328125" customWidth="1"/>
    <col min="25" max="25" width="7.54296875" customWidth="1"/>
    <col min="26" max="26" width="7.08984375" customWidth="1"/>
    <col min="27" max="27" width="9.26953125" customWidth="1"/>
    <col min="28" max="28" width="13.36328125" customWidth="1"/>
    <col min="29" max="29" width="11.36328125" customWidth="1"/>
    <col min="30" max="30" width="11.6328125" customWidth="1"/>
    <col min="31" max="31" width="12.08984375" customWidth="1"/>
    <col min="32" max="32" width="8.08984375" customWidth="1"/>
    <col min="33" max="33" width="6.54296875" customWidth="1"/>
    <col min="34" max="34" width="6.90625" customWidth="1"/>
    <col min="35" max="35" width="5.6328125" customWidth="1"/>
    <col min="36" max="36" width="10.26953125" customWidth="1"/>
    <col min="37" max="37" width="16.6328125" customWidth="1"/>
    <col min="38" max="38" width="15.26953125" customWidth="1"/>
    <col min="39" max="39" width="21.90625" customWidth="1"/>
    <col min="40" max="40" width="3.26953125" customWidth="1"/>
    <col min="41" max="41" width="21.1796875" customWidth="1"/>
    <col min="42" max="42" width="14.26953125" customWidth="1"/>
    <col min="43" max="43" width="12.90625" customWidth="1"/>
    <col min="44" max="44" width="19.54296875" customWidth="1"/>
    <col min="45" max="45" width="20.1796875" customWidth="1"/>
    <col min="46" max="46" width="11.08984375" customWidth="1"/>
    <col min="47" max="47" width="14.54296875" customWidth="1"/>
    <col min="48" max="48" width="9.453125" customWidth="1"/>
    <col min="49" max="49" width="18.26953125" bestFit="1" customWidth="1"/>
    <col min="50" max="50" width="8.453125" bestFit="1" customWidth="1"/>
  </cols>
  <sheetData>
    <row r="1" spans="1:5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2" x14ac:dyDescent="0.35">
      <c r="A2" s="2" t="s">
        <v>50</v>
      </c>
      <c r="B2" s="3" t="s">
        <v>51</v>
      </c>
      <c r="C2" s="4" t="s">
        <v>52</v>
      </c>
      <c r="D2" s="3" t="s">
        <v>53</v>
      </c>
      <c r="E2" s="4" t="s">
        <v>0</v>
      </c>
      <c r="F2" s="4" t="s">
        <v>54</v>
      </c>
      <c r="AX2" s="4" t="s">
        <v>55</v>
      </c>
    </row>
    <row r="3" spans="1:52" x14ac:dyDescent="0.35">
      <c r="A3" s="2" t="s">
        <v>56</v>
      </c>
      <c r="B3" s="3" t="s">
        <v>57</v>
      </c>
      <c r="C3" s="4" t="s">
        <v>58</v>
      </c>
      <c r="G3" s="4" t="s">
        <v>59</v>
      </c>
      <c r="I3" s="4" t="s">
        <v>60</v>
      </c>
      <c r="J3" s="4" t="s">
        <v>55</v>
      </c>
      <c r="K3" s="4" t="s">
        <v>55</v>
      </c>
      <c r="L3" s="4" t="s">
        <v>55</v>
      </c>
      <c r="M3" s="4" t="s">
        <v>55</v>
      </c>
      <c r="N3" s="4" t="s">
        <v>55</v>
      </c>
      <c r="O3" s="4" t="s">
        <v>61</v>
      </c>
      <c r="AH3" t="str">
        <f>IF(A3&lt;&gt;"Attribute","",IF(AZ3&gt;=1,"Yes","No"))</f>
        <v/>
      </c>
      <c r="AT3" s="4" t="s">
        <v>51</v>
      </c>
      <c r="AU3" s="4" t="s">
        <v>52</v>
      </c>
      <c r="AV3" s="4" t="s">
        <v>54</v>
      </c>
      <c r="AW3" s="4" t="s">
        <v>62</v>
      </c>
      <c r="AX3" s="4" t="str">
        <f>IF(AY3&gt;=1, "No", "Yes")</f>
        <v>No</v>
      </c>
      <c r="AY3">
        <f>COUNTIFS([1]Sheet1!$K:$K, B3, [1]Sheet1!$N:$N, "No")</f>
        <v>1</v>
      </c>
      <c r="AZ3">
        <f>COUNTIFS([1]Sheet1!$K:$K, B3, [1]Sheet1!$O:$O, "Yes")</f>
        <v>0</v>
      </c>
    </row>
    <row r="4" spans="1:52" x14ac:dyDescent="0.35">
      <c r="A4" s="2" t="s">
        <v>63</v>
      </c>
      <c r="B4" s="3" t="s">
        <v>64</v>
      </c>
      <c r="C4" s="4" t="s">
        <v>58</v>
      </c>
      <c r="G4" s="4" t="s">
        <v>64</v>
      </c>
      <c r="I4" s="4" t="s">
        <v>60</v>
      </c>
      <c r="J4" s="4" t="s">
        <v>55</v>
      </c>
      <c r="K4" s="4" t="s">
        <v>55</v>
      </c>
      <c r="O4" s="4" t="s">
        <v>65</v>
      </c>
      <c r="R4" s="4" t="s">
        <v>0</v>
      </c>
      <c r="S4" s="4" t="s">
        <v>66</v>
      </c>
      <c r="W4" s="4" t="s">
        <v>55</v>
      </c>
      <c r="X4" s="4" t="s">
        <v>55</v>
      </c>
      <c r="Y4" s="4" t="s">
        <v>67</v>
      </c>
      <c r="Z4" s="4" t="s">
        <v>67</v>
      </c>
      <c r="AH4" t="str">
        <f t="shared" ref="AH4:AH35" si="0">IF(A4&lt;&gt;"Attribute","",IF(AZ4&gt;=1,"Yes","No"))</f>
        <v/>
      </c>
      <c r="AT4" s="4" t="s">
        <v>51</v>
      </c>
      <c r="AU4" s="4" t="s">
        <v>52</v>
      </c>
      <c r="AV4" s="4" t="s">
        <v>59</v>
      </c>
      <c r="AW4" s="4" t="s">
        <v>58</v>
      </c>
      <c r="AX4" s="4" t="str">
        <f t="shared" ref="AX4:AX35" si="1">IF(AY4&gt;=1, "No", "Yes")</f>
        <v>No</v>
      </c>
      <c r="AY4">
        <f>COUNTIFS([1]Sheet1!$K:$K, B4, [1]Sheet1!$N:$N, "No")</f>
        <v>1</v>
      </c>
      <c r="AZ4">
        <f>COUNTIFS([1]Sheet1!$K:$K, B4, [1]Sheet1!$O:$O, "Yes")</f>
        <v>0</v>
      </c>
    </row>
    <row r="5" spans="1:52" x14ac:dyDescent="0.35">
      <c r="A5" s="2" t="s">
        <v>63</v>
      </c>
      <c r="B5" s="3" t="s">
        <v>68</v>
      </c>
      <c r="C5" s="4" t="s">
        <v>69</v>
      </c>
      <c r="G5" s="4" t="s">
        <v>68</v>
      </c>
      <c r="I5" s="4" t="s">
        <v>60</v>
      </c>
      <c r="J5" s="4" t="s">
        <v>55</v>
      </c>
      <c r="K5" s="4" t="s">
        <v>55</v>
      </c>
      <c r="O5" s="4" t="s">
        <v>70</v>
      </c>
      <c r="Q5" s="4" t="s">
        <v>71</v>
      </c>
      <c r="R5" s="4" t="s">
        <v>0</v>
      </c>
      <c r="S5" s="4" t="s">
        <v>66</v>
      </c>
      <c r="W5" s="4" t="s">
        <v>55</v>
      </c>
      <c r="X5" s="4" t="s">
        <v>55</v>
      </c>
      <c r="Y5" s="4" t="s">
        <v>67</v>
      </c>
      <c r="Z5" s="4" t="s">
        <v>67</v>
      </c>
      <c r="AH5" t="str">
        <f t="shared" si="0"/>
        <v/>
      </c>
      <c r="AT5" s="4" t="s">
        <v>51</v>
      </c>
      <c r="AU5" s="4" t="s">
        <v>52</v>
      </c>
      <c r="AV5" s="4" t="s">
        <v>59</v>
      </c>
      <c r="AW5" s="4" t="s">
        <v>58</v>
      </c>
      <c r="AX5" s="4" t="str">
        <f t="shared" si="1"/>
        <v>No</v>
      </c>
      <c r="AY5">
        <f>COUNTIFS([1]Sheet1!$K:$K, B5, [1]Sheet1!$N:$N, "No")</f>
        <v>1</v>
      </c>
      <c r="AZ5">
        <f>COUNTIFS([1]Sheet1!$K:$K, B5, [1]Sheet1!$O:$O, "Yes")</f>
        <v>0</v>
      </c>
    </row>
    <row r="6" spans="1:52" x14ac:dyDescent="0.35">
      <c r="A6" s="2" t="s">
        <v>72</v>
      </c>
      <c r="B6" s="3" t="s">
        <v>73</v>
      </c>
      <c r="C6" s="4" t="s">
        <v>74</v>
      </c>
      <c r="D6" s="4" t="s">
        <v>75</v>
      </c>
      <c r="G6" s="4" t="s">
        <v>73</v>
      </c>
      <c r="R6" s="4" t="s">
        <v>0</v>
      </c>
      <c r="AA6" s="4" t="s">
        <v>76</v>
      </c>
      <c r="AC6" s="4" t="s">
        <v>77</v>
      </c>
      <c r="AH6" t="str">
        <f t="shared" si="0"/>
        <v/>
      </c>
      <c r="AT6" s="4" t="s">
        <v>51</v>
      </c>
      <c r="AU6" s="4" t="s">
        <v>52</v>
      </c>
      <c r="AV6" s="4" t="s">
        <v>68</v>
      </c>
      <c r="AW6" s="4" t="s">
        <v>69</v>
      </c>
      <c r="AX6" s="4" t="str">
        <f t="shared" si="1"/>
        <v>No</v>
      </c>
      <c r="AY6">
        <f>COUNTIFS([1]Sheet1!$K:$K, B6, [1]Sheet1!$N:$N, "No")</f>
        <v>1</v>
      </c>
      <c r="AZ6">
        <f>COUNTIFS([1]Sheet1!$K:$K, B6, [1]Sheet1!$O:$O, "Yes")</f>
        <v>0</v>
      </c>
    </row>
    <row r="7" spans="1:52" x14ac:dyDescent="0.35">
      <c r="A7" s="2" t="s">
        <v>63</v>
      </c>
      <c r="B7" s="3" t="s">
        <v>78</v>
      </c>
      <c r="C7" s="4" t="s">
        <v>79</v>
      </c>
      <c r="G7" s="4" t="s">
        <v>78</v>
      </c>
      <c r="I7" s="4" t="s">
        <v>60</v>
      </c>
      <c r="J7" s="4" t="s">
        <v>55</v>
      </c>
      <c r="K7" s="4" t="s">
        <v>55</v>
      </c>
      <c r="Q7" s="4" t="s">
        <v>80</v>
      </c>
      <c r="R7" s="4" t="s">
        <v>0</v>
      </c>
      <c r="S7" s="4" t="s">
        <v>66</v>
      </c>
      <c r="W7" s="4" t="s">
        <v>55</v>
      </c>
      <c r="X7" s="4" t="s">
        <v>55</v>
      </c>
      <c r="Y7" s="4" t="s">
        <v>67</v>
      </c>
      <c r="Z7" s="4" t="s">
        <v>67</v>
      </c>
      <c r="AH7" t="str">
        <f t="shared" si="0"/>
        <v/>
      </c>
      <c r="AT7" s="4" t="s">
        <v>51</v>
      </c>
      <c r="AU7" s="4" t="s">
        <v>52</v>
      </c>
      <c r="AV7" s="4" t="s">
        <v>59</v>
      </c>
      <c r="AW7" s="4" t="s">
        <v>58</v>
      </c>
      <c r="AX7" s="4" t="str">
        <f t="shared" si="1"/>
        <v>No</v>
      </c>
      <c r="AY7">
        <f>COUNTIFS([1]Sheet1!$K:$K, B7, [1]Sheet1!$N:$N, "No")</f>
        <v>1</v>
      </c>
      <c r="AZ7">
        <f>COUNTIFS([1]Sheet1!$K:$K, B7, [1]Sheet1!$O:$O, "Yes")</f>
        <v>0</v>
      </c>
    </row>
    <row r="8" spans="1:52" x14ac:dyDescent="0.35">
      <c r="A8" s="2" t="s">
        <v>63</v>
      </c>
      <c r="B8" s="3" t="s">
        <v>81</v>
      </c>
      <c r="C8" s="4" t="s">
        <v>82</v>
      </c>
      <c r="G8" s="4" t="s">
        <v>81</v>
      </c>
      <c r="I8" s="4" t="s">
        <v>60</v>
      </c>
      <c r="J8" s="4" t="s">
        <v>55</v>
      </c>
      <c r="K8" s="4" t="s">
        <v>55</v>
      </c>
      <c r="Q8" s="4" t="s">
        <v>75</v>
      </c>
      <c r="R8" s="4" t="s">
        <v>0</v>
      </c>
      <c r="S8" s="4" t="s">
        <v>66</v>
      </c>
      <c r="W8" s="4" t="s">
        <v>55</v>
      </c>
      <c r="X8" s="4" t="s">
        <v>55</v>
      </c>
      <c r="Y8" s="4" t="s">
        <v>67</v>
      </c>
      <c r="Z8" s="4" t="s">
        <v>67</v>
      </c>
      <c r="AH8" t="str">
        <f t="shared" si="0"/>
        <v/>
      </c>
      <c r="AT8" s="4" t="s">
        <v>51</v>
      </c>
      <c r="AU8" s="4" t="s">
        <v>52</v>
      </c>
      <c r="AV8" s="4" t="s">
        <v>59</v>
      </c>
      <c r="AW8" s="4" t="s">
        <v>58</v>
      </c>
      <c r="AX8" s="4" t="str">
        <f t="shared" si="1"/>
        <v>No</v>
      </c>
      <c r="AY8">
        <f>COUNTIFS([1]Sheet1!$K:$K, B8, [1]Sheet1!$N:$N, "No")</f>
        <v>1</v>
      </c>
      <c r="AZ8">
        <f>COUNTIFS([1]Sheet1!$K:$K, B8, [1]Sheet1!$O:$O, "Yes")</f>
        <v>0</v>
      </c>
    </row>
    <row r="9" spans="1:52" x14ac:dyDescent="0.35">
      <c r="A9" s="2" t="s">
        <v>72</v>
      </c>
      <c r="B9" s="3" t="s">
        <v>83</v>
      </c>
      <c r="C9" s="4" t="s">
        <v>84</v>
      </c>
      <c r="D9" s="4" t="s">
        <v>85</v>
      </c>
      <c r="G9" s="4" t="s">
        <v>83</v>
      </c>
      <c r="R9" s="4" t="s">
        <v>0</v>
      </c>
      <c r="AA9" s="4" t="s">
        <v>76</v>
      </c>
      <c r="AC9" s="4" t="s">
        <v>77</v>
      </c>
      <c r="AH9" t="str">
        <f t="shared" si="0"/>
        <v/>
      </c>
      <c r="AT9" s="4" t="s">
        <v>51</v>
      </c>
      <c r="AU9" s="4" t="s">
        <v>52</v>
      </c>
      <c r="AV9" s="4" t="s">
        <v>81</v>
      </c>
      <c r="AW9" s="4" t="s">
        <v>82</v>
      </c>
      <c r="AX9" s="4" t="str">
        <f t="shared" si="1"/>
        <v>No</v>
      </c>
      <c r="AY9">
        <f>COUNTIFS([1]Sheet1!$K:$K, B9, [1]Sheet1!$N:$N, "No")</f>
        <v>1</v>
      </c>
      <c r="AZ9">
        <f>COUNTIFS([1]Sheet1!$K:$K, B9, [1]Sheet1!$O:$O, "Yes")</f>
        <v>0</v>
      </c>
    </row>
    <row r="10" spans="1:52" x14ac:dyDescent="0.35">
      <c r="A10" s="2" t="s">
        <v>56</v>
      </c>
      <c r="B10" s="3" t="s">
        <v>86</v>
      </c>
      <c r="C10" s="4" t="s">
        <v>87</v>
      </c>
      <c r="G10" s="4" t="s">
        <v>88</v>
      </c>
      <c r="I10" s="4" t="s">
        <v>60</v>
      </c>
      <c r="J10" s="4" t="s">
        <v>55</v>
      </c>
      <c r="K10" s="4" t="s">
        <v>55</v>
      </c>
      <c r="L10" s="4" t="s">
        <v>55</v>
      </c>
      <c r="M10" s="4" t="s">
        <v>55</v>
      </c>
      <c r="N10" s="4" t="s">
        <v>55</v>
      </c>
      <c r="O10" s="4" t="s">
        <v>89</v>
      </c>
      <c r="AH10" t="str">
        <f t="shared" si="0"/>
        <v/>
      </c>
      <c r="AT10" s="4" t="s">
        <v>51</v>
      </c>
      <c r="AU10" s="4" t="s">
        <v>52</v>
      </c>
      <c r="AV10" s="4" t="s">
        <v>54</v>
      </c>
      <c r="AW10" s="4" t="s">
        <v>62</v>
      </c>
      <c r="AX10" s="4" t="str">
        <f t="shared" si="1"/>
        <v>No</v>
      </c>
      <c r="AY10">
        <f>COUNTIFS([1]Sheet1!$K:$K, B10, [1]Sheet1!$N:$N, "No")</f>
        <v>1</v>
      </c>
      <c r="AZ10">
        <f>COUNTIFS([1]Sheet1!$K:$K, B10, [1]Sheet1!$O:$O, "Yes")</f>
        <v>0</v>
      </c>
    </row>
    <row r="11" spans="1:52" x14ac:dyDescent="0.35">
      <c r="A11" s="2" t="s">
        <v>90</v>
      </c>
      <c r="B11" s="3" t="s">
        <v>91</v>
      </c>
      <c r="C11" s="4" t="s">
        <v>84</v>
      </c>
      <c r="D11" s="4" t="s">
        <v>85</v>
      </c>
      <c r="G11" s="4" t="s">
        <v>91</v>
      </c>
      <c r="I11" s="4" t="s">
        <v>92</v>
      </c>
      <c r="J11" s="4" t="s">
        <v>55</v>
      </c>
      <c r="O11" s="4" t="s">
        <v>93</v>
      </c>
      <c r="R11" s="4" t="s">
        <v>0</v>
      </c>
      <c r="S11" s="4" t="s">
        <v>66</v>
      </c>
      <c r="Y11" s="4" t="s">
        <v>67</v>
      </c>
      <c r="Z11" s="4" t="s">
        <v>67</v>
      </c>
      <c r="AC11" s="4" t="s">
        <v>77</v>
      </c>
      <c r="AE11" s="4" t="s">
        <v>94</v>
      </c>
      <c r="AF11" s="4" t="s">
        <v>55</v>
      </c>
      <c r="AG11" s="4" t="s">
        <v>55</v>
      </c>
      <c r="AH11" t="str">
        <f t="shared" si="0"/>
        <v>Yes</v>
      </c>
      <c r="AT11" s="4" t="s">
        <v>51</v>
      </c>
      <c r="AU11" s="4" t="s">
        <v>52</v>
      </c>
      <c r="AV11" s="4" t="s">
        <v>88</v>
      </c>
      <c r="AW11" s="4" t="s">
        <v>87</v>
      </c>
      <c r="AX11" s="4" t="str">
        <f t="shared" si="1"/>
        <v>No</v>
      </c>
      <c r="AY11">
        <f>COUNTIFS([1]Sheet1!$K:$K, B11, [1]Sheet1!$N:$N, "No")</f>
        <v>2</v>
      </c>
      <c r="AZ11">
        <f>COUNTIFS([1]Sheet1!$K:$K, B11, [1]Sheet1!$O:$O, "Yes")</f>
        <v>1</v>
      </c>
    </row>
    <row r="12" spans="1:52" x14ac:dyDescent="0.35">
      <c r="A12" s="2" t="s">
        <v>90</v>
      </c>
      <c r="B12" s="3" t="s">
        <v>95</v>
      </c>
      <c r="C12" s="4" t="s">
        <v>96</v>
      </c>
      <c r="D12" s="4" t="s">
        <v>97</v>
      </c>
      <c r="G12" s="4" t="s">
        <v>95</v>
      </c>
      <c r="I12" s="4" t="s">
        <v>92</v>
      </c>
      <c r="J12" s="4" t="s">
        <v>55</v>
      </c>
      <c r="R12" s="4" t="s">
        <v>0</v>
      </c>
      <c r="S12" s="4" t="s">
        <v>66</v>
      </c>
      <c r="Y12" s="4" t="s">
        <v>67</v>
      </c>
      <c r="Z12" s="4" t="s">
        <v>67</v>
      </c>
      <c r="AC12" s="4" t="s">
        <v>77</v>
      </c>
      <c r="AE12" s="4" t="s">
        <v>94</v>
      </c>
      <c r="AF12" s="4" t="s">
        <v>55</v>
      </c>
      <c r="AG12" s="4" t="s">
        <v>55</v>
      </c>
      <c r="AH12" t="str">
        <f t="shared" si="0"/>
        <v>Yes</v>
      </c>
      <c r="AT12" s="4" t="s">
        <v>51</v>
      </c>
      <c r="AU12" s="4" t="s">
        <v>52</v>
      </c>
      <c r="AV12" s="4" t="s">
        <v>88</v>
      </c>
      <c r="AW12" s="4" t="s">
        <v>87</v>
      </c>
      <c r="AX12" s="4" t="str">
        <f t="shared" si="1"/>
        <v>No</v>
      </c>
      <c r="AY12">
        <f>COUNTIFS([1]Sheet1!$K:$K, B12, [1]Sheet1!$N:$N, "No")</f>
        <v>2</v>
      </c>
      <c r="AZ12">
        <f>COUNTIFS([1]Sheet1!$K:$K, B12, [1]Sheet1!$O:$O, "Yes")</f>
        <v>1</v>
      </c>
    </row>
    <row r="13" spans="1:52" x14ac:dyDescent="0.35">
      <c r="A13" s="2" t="s">
        <v>90</v>
      </c>
      <c r="B13" s="3" t="s">
        <v>98</v>
      </c>
      <c r="C13" s="4" t="s">
        <v>99</v>
      </c>
      <c r="D13" s="4" t="s">
        <v>100</v>
      </c>
      <c r="G13" s="4" t="s">
        <v>98</v>
      </c>
      <c r="I13" s="4" t="s">
        <v>92</v>
      </c>
      <c r="J13" s="4" t="s">
        <v>55</v>
      </c>
      <c r="O13" s="4" t="s">
        <v>101</v>
      </c>
      <c r="R13" s="4" t="s">
        <v>0</v>
      </c>
      <c r="S13" s="4" t="s">
        <v>66</v>
      </c>
      <c r="Y13" s="4" t="s">
        <v>67</v>
      </c>
      <c r="Z13" s="4" t="s">
        <v>67</v>
      </c>
      <c r="AC13" s="4" t="s">
        <v>77</v>
      </c>
      <c r="AE13" s="4" t="s">
        <v>94</v>
      </c>
      <c r="AF13" s="4" t="s">
        <v>55</v>
      </c>
      <c r="AG13" s="4" t="s">
        <v>55</v>
      </c>
      <c r="AH13" t="str">
        <f t="shared" si="0"/>
        <v>No</v>
      </c>
      <c r="AT13" s="4" t="s">
        <v>51</v>
      </c>
      <c r="AU13" s="4" t="s">
        <v>52</v>
      </c>
      <c r="AV13" s="4" t="s">
        <v>88</v>
      </c>
      <c r="AW13" s="4" t="s">
        <v>87</v>
      </c>
      <c r="AX13" s="4" t="str">
        <f t="shared" si="1"/>
        <v>No</v>
      </c>
      <c r="AY13">
        <f>COUNTIFS([1]Sheet1!$K:$K, B13, [1]Sheet1!$N:$N, "No")</f>
        <v>1</v>
      </c>
      <c r="AZ13">
        <f>COUNTIFS([1]Sheet1!$K:$K, B13, [1]Sheet1!$O:$O, "Yes")</f>
        <v>0</v>
      </c>
    </row>
    <row r="14" spans="1:52" x14ac:dyDescent="0.35">
      <c r="A14" s="2" t="s">
        <v>90</v>
      </c>
      <c r="B14" s="3" t="s">
        <v>102</v>
      </c>
      <c r="C14" s="4" t="s">
        <v>103</v>
      </c>
      <c r="D14" s="4" t="s">
        <v>104</v>
      </c>
      <c r="G14" s="4" t="s">
        <v>102</v>
      </c>
      <c r="I14" s="4" t="s">
        <v>92</v>
      </c>
      <c r="J14" s="4" t="s">
        <v>55</v>
      </c>
      <c r="R14" s="4" t="s">
        <v>0</v>
      </c>
      <c r="S14" s="4" t="s">
        <v>105</v>
      </c>
      <c r="Y14" s="4" t="s">
        <v>67</v>
      </c>
      <c r="Z14" s="4" t="s">
        <v>67</v>
      </c>
      <c r="AC14" s="4" t="s">
        <v>77</v>
      </c>
      <c r="AD14" s="4" t="s">
        <v>68</v>
      </c>
      <c r="AE14" s="4" t="s">
        <v>94</v>
      </c>
      <c r="AF14" s="4" t="s">
        <v>55</v>
      </c>
      <c r="AG14" s="4" t="s">
        <v>55</v>
      </c>
      <c r="AH14" t="str">
        <f t="shared" si="0"/>
        <v>No</v>
      </c>
      <c r="AT14" s="4" t="s">
        <v>51</v>
      </c>
      <c r="AU14" s="4" t="s">
        <v>52</v>
      </c>
      <c r="AV14" s="4" t="s">
        <v>88</v>
      </c>
      <c r="AW14" s="4" t="s">
        <v>87</v>
      </c>
      <c r="AX14" s="4" t="str">
        <f t="shared" si="1"/>
        <v>No</v>
      </c>
      <c r="AY14">
        <f>COUNTIFS([1]Sheet1!$K:$K, B14, [1]Sheet1!$N:$N, "No")</f>
        <v>1</v>
      </c>
      <c r="AZ14">
        <f>COUNTIFS([1]Sheet1!$K:$K, B14, [1]Sheet1!$O:$O, "Yes")</f>
        <v>0</v>
      </c>
    </row>
    <row r="15" spans="1:52" x14ac:dyDescent="0.35">
      <c r="A15" s="2" t="s">
        <v>63</v>
      </c>
      <c r="B15" s="3" t="s">
        <v>106</v>
      </c>
      <c r="C15" s="4" t="s">
        <v>87</v>
      </c>
      <c r="G15" s="4" t="s">
        <v>106</v>
      </c>
      <c r="I15" s="4" t="s">
        <v>60</v>
      </c>
      <c r="J15" s="4" t="s">
        <v>55</v>
      </c>
      <c r="K15" s="4" t="s">
        <v>55</v>
      </c>
      <c r="O15" s="4" t="s">
        <v>107</v>
      </c>
      <c r="R15" s="4" t="s">
        <v>0</v>
      </c>
      <c r="S15" s="4" t="s">
        <v>66</v>
      </c>
      <c r="W15" s="4" t="s">
        <v>55</v>
      </c>
      <c r="X15" s="4" t="s">
        <v>55</v>
      </c>
      <c r="Y15" s="4" t="s">
        <v>67</v>
      </c>
      <c r="Z15" s="4" t="s">
        <v>67</v>
      </c>
      <c r="AH15" t="str">
        <f t="shared" si="0"/>
        <v/>
      </c>
      <c r="AT15" s="4" t="s">
        <v>51</v>
      </c>
      <c r="AU15" s="4" t="s">
        <v>52</v>
      </c>
      <c r="AV15" s="4" t="s">
        <v>88</v>
      </c>
      <c r="AW15" s="4" t="s">
        <v>87</v>
      </c>
      <c r="AX15" s="4" t="str">
        <f t="shared" si="1"/>
        <v>No</v>
      </c>
      <c r="AY15">
        <f>COUNTIFS([1]Sheet1!$K:$K, B15, [1]Sheet1!$N:$N, "No")</f>
        <v>1</v>
      </c>
      <c r="AZ15">
        <f>COUNTIFS([1]Sheet1!$K:$K, B15, [1]Sheet1!$O:$O, "Yes")</f>
        <v>0</v>
      </c>
    </row>
    <row r="16" spans="1:52" x14ac:dyDescent="0.35">
      <c r="A16" s="2" t="s">
        <v>72</v>
      </c>
      <c r="B16" s="3" t="s">
        <v>108</v>
      </c>
      <c r="C16" s="4" t="s">
        <v>84</v>
      </c>
      <c r="D16" s="4" t="s">
        <v>85</v>
      </c>
      <c r="G16" s="4" t="s">
        <v>108</v>
      </c>
      <c r="R16" s="4" t="s">
        <v>0</v>
      </c>
      <c r="AA16" s="4" t="s">
        <v>76</v>
      </c>
      <c r="AC16" s="4" t="s">
        <v>77</v>
      </c>
      <c r="AH16" t="str">
        <f t="shared" si="0"/>
        <v/>
      </c>
      <c r="AT16" s="4" t="s">
        <v>51</v>
      </c>
      <c r="AU16" s="4" t="s">
        <v>52</v>
      </c>
      <c r="AV16" s="4" t="s">
        <v>106</v>
      </c>
      <c r="AW16" s="4" t="s">
        <v>87</v>
      </c>
      <c r="AX16" s="4" t="str">
        <f t="shared" si="1"/>
        <v>No</v>
      </c>
      <c r="AY16">
        <f>COUNTIFS([1]Sheet1!$K:$K, B16, [1]Sheet1!$N:$N, "No")</f>
        <v>1</v>
      </c>
      <c r="AZ16">
        <f>COUNTIFS([1]Sheet1!$K:$K, B16, [1]Sheet1!$O:$O, "Yes")</f>
        <v>0</v>
      </c>
    </row>
    <row r="17" spans="1:52" x14ac:dyDescent="0.35">
      <c r="A17" s="2" t="s">
        <v>72</v>
      </c>
      <c r="B17" s="3" t="s">
        <v>109</v>
      </c>
      <c r="C17" s="4" t="s">
        <v>96</v>
      </c>
      <c r="D17" s="4" t="s">
        <v>97</v>
      </c>
      <c r="G17" s="4" t="s">
        <v>109</v>
      </c>
      <c r="R17" s="4" t="s">
        <v>0</v>
      </c>
      <c r="AA17" s="4" t="s">
        <v>76</v>
      </c>
      <c r="AC17" s="4" t="s">
        <v>77</v>
      </c>
      <c r="AH17" t="str">
        <f t="shared" si="0"/>
        <v/>
      </c>
      <c r="AT17" s="4" t="s">
        <v>51</v>
      </c>
      <c r="AU17" s="4" t="s">
        <v>52</v>
      </c>
      <c r="AV17" s="4" t="s">
        <v>106</v>
      </c>
      <c r="AW17" s="4" t="s">
        <v>87</v>
      </c>
      <c r="AX17" s="4" t="str">
        <f t="shared" si="1"/>
        <v>No</v>
      </c>
      <c r="AY17">
        <f>COUNTIFS([1]Sheet1!$K:$K, B17, [1]Sheet1!$N:$N, "No")</f>
        <v>1</v>
      </c>
      <c r="AZ17">
        <f>COUNTIFS([1]Sheet1!$K:$K, B17, [1]Sheet1!$O:$O, "Yes")</f>
        <v>0</v>
      </c>
    </row>
    <row r="18" spans="1:52" x14ac:dyDescent="0.35">
      <c r="A18" s="2" t="s">
        <v>72</v>
      </c>
      <c r="B18" s="3" t="s">
        <v>110</v>
      </c>
      <c r="C18" s="4" t="s">
        <v>99</v>
      </c>
      <c r="D18" s="4" t="s">
        <v>100</v>
      </c>
      <c r="G18" s="4" t="s">
        <v>110</v>
      </c>
      <c r="R18" s="4" t="s">
        <v>0</v>
      </c>
      <c r="AA18" s="4" t="s">
        <v>76</v>
      </c>
      <c r="AC18" s="4" t="s">
        <v>77</v>
      </c>
      <c r="AH18" t="str">
        <f t="shared" si="0"/>
        <v/>
      </c>
      <c r="AT18" s="4" t="s">
        <v>51</v>
      </c>
      <c r="AU18" s="4" t="s">
        <v>52</v>
      </c>
      <c r="AV18" s="4" t="s">
        <v>106</v>
      </c>
      <c r="AW18" s="4" t="s">
        <v>87</v>
      </c>
      <c r="AX18" s="4" t="str">
        <f t="shared" si="1"/>
        <v>No</v>
      </c>
      <c r="AY18">
        <f>COUNTIFS([1]Sheet1!$K:$K, B18, [1]Sheet1!$N:$N, "No")</f>
        <v>1</v>
      </c>
      <c r="AZ18">
        <f>COUNTIFS([1]Sheet1!$K:$K, B18, [1]Sheet1!$O:$O, "Yes")</f>
        <v>0</v>
      </c>
    </row>
    <row r="19" spans="1:52" x14ac:dyDescent="0.35">
      <c r="A19" s="2" t="s">
        <v>63</v>
      </c>
      <c r="B19" s="3" t="s">
        <v>111</v>
      </c>
      <c r="C19" s="4" t="s">
        <v>112</v>
      </c>
      <c r="G19" s="4" t="s">
        <v>111</v>
      </c>
      <c r="I19" s="4" t="s">
        <v>60</v>
      </c>
      <c r="J19" s="4" t="s">
        <v>55</v>
      </c>
      <c r="K19" s="4" t="s">
        <v>55</v>
      </c>
      <c r="Q19" s="4" t="s">
        <v>104</v>
      </c>
      <c r="R19" s="4" t="s">
        <v>0</v>
      </c>
      <c r="S19" s="4" t="s">
        <v>66</v>
      </c>
      <c r="W19" s="4" t="s">
        <v>55</v>
      </c>
      <c r="X19" s="4" t="s">
        <v>55</v>
      </c>
      <c r="Y19" s="4" t="s">
        <v>67</v>
      </c>
      <c r="Z19" s="4" t="s">
        <v>67</v>
      </c>
      <c r="AH19" t="str">
        <f t="shared" si="0"/>
        <v/>
      </c>
      <c r="AT19" s="4" t="s">
        <v>51</v>
      </c>
      <c r="AU19" s="4" t="s">
        <v>52</v>
      </c>
      <c r="AV19" s="4" t="s">
        <v>88</v>
      </c>
      <c r="AW19" s="4" t="s">
        <v>87</v>
      </c>
      <c r="AX19" s="4" t="str">
        <f t="shared" si="1"/>
        <v>No</v>
      </c>
      <c r="AY19">
        <f>COUNTIFS([1]Sheet1!$K:$K, B19, [1]Sheet1!$N:$N, "No")</f>
        <v>1</v>
      </c>
      <c r="AZ19">
        <f>COUNTIFS([1]Sheet1!$K:$K, B19, [1]Sheet1!$O:$O, "Yes")</f>
        <v>0</v>
      </c>
    </row>
    <row r="20" spans="1:52" x14ac:dyDescent="0.35">
      <c r="A20" s="2" t="s">
        <v>72</v>
      </c>
      <c r="B20" s="3" t="s">
        <v>113</v>
      </c>
      <c r="C20" s="4" t="s">
        <v>99</v>
      </c>
      <c r="D20" s="4" t="s">
        <v>100</v>
      </c>
      <c r="G20" s="4" t="s">
        <v>113</v>
      </c>
      <c r="R20" s="4" t="s">
        <v>0</v>
      </c>
      <c r="AA20" s="4" t="s">
        <v>76</v>
      </c>
      <c r="AC20" s="4" t="s">
        <v>77</v>
      </c>
      <c r="AH20" t="str">
        <f t="shared" si="0"/>
        <v/>
      </c>
      <c r="AT20" s="4" t="s">
        <v>51</v>
      </c>
      <c r="AU20" s="4" t="s">
        <v>52</v>
      </c>
      <c r="AV20" s="4" t="s">
        <v>111</v>
      </c>
      <c r="AW20" s="4" t="s">
        <v>112</v>
      </c>
      <c r="AX20" s="4" t="str">
        <f t="shared" si="1"/>
        <v>No</v>
      </c>
      <c r="AY20">
        <f>COUNTIFS([1]Sheet1!$K:$K, B20, [1]Sheet1!$N:$N, "No")</f>
        <v>1</v>
      </c>
      <c r="AZ20">
        <f>COUNTIFS([1]Sheet1!$K:$K, B20, [1]Sheet1!$O:$O, "Yes")</f>
        <v>0</v>
      </c>
    </row>
    <row r="21" spans="1:52" x14ac:dyDescent="0.35">
      <c r="A21" s="2" t="s">
        <v>56</v>
      </c>
      <c r="B21" s="3" t="s">
        <v>114</v>
      </c>
      <c r="C21" s="4" t="s">
        <v>115</v>
      </c>
      <c r="G21" s="4" t="s">
        <v>116</v>
      </c>
      <c r="I21" s="4" t="s">
        <v>60</v>
      </c>
      <c r="J21" s="4" t="s">
        <v>55</v>
      </c>
      <c r="K21" s="4" t="s">
        <v>55</v>
      </c>
      <c r="L21" s="4" t="s">
        <v>55</v>
      </c>
      <c r="M21" s="4" t="s">
        <v>55</v>
      </c>
      <c r="N21" s="4" t="s">
        <v>55</v>
      </c>
      <c r="O21" s="4" t="s">
        <v>117</v>
      </c>
      <c r="AH21" t="str">
        <f t="shared" si="0"/>
        <v/>
      </c>
      <c r="AT21" s="4" t="s">
        <v>51</v>
      </c>
      <c r="AU21" s="4" t="s">
        <v>52</v>
      </c>
      <c r="AV21" s="4" t="s">
        <v>54</v>
      </c>
      <c r="AW21" s="4" t="s">
        <v>62</v>
      </c>
      <c r="AX21" s="4" t="str">
        <f t="shared" si="1"/>
        <v>No</v>
      </c>
      <c r="AY21">
        <f>COUNTIFS([1]Sheet1!$K:$K, B21, [1]Sheet1!$N:$N, "No")</f>
        <v>1</v>
      </c>
      <c r="AZ21">
        <f>COUNTIFS([1]Sheet1!$K:$K, B21, [1]Sheet1!$O:$O, "Yes")</f>
        <v>0</v>
      </c>
    </row>
    <row r="22" spans="1:52" x14ac:dyDescent="0.35">
      <c r="A22" s="2" t="s">
        <v>63</v>
      </c>
      <c r="B22" s="3" t="s">
        <v>118</v>
      </c>
      <c r="C22" s="4" t="s">
        <v>115</v>
      </c>
      <c r="G22" s="4" t="s">
        <v>118</v>
      </c>
      <c r="I22" s="4" t="s">
        <v>60</v>
      </c>
      <c r="J22" s="4" t="s">
        <v>55</v>
      </c>
      <c r="K22" s="4" t="s">
        <v>55</v>
      </c>
      <c r="O22" s="4" t="s">
        <v>119</v>
      </c>
      <c r="R22" s="4" t="s">
        <v>0</v>
      </c>
      <c r="S22" s="4" t="s">
        <v>66</v>
      </c>
      <c r="W22" s="4" t="s">
        <v>55</v>
      </c>
      <c r="X22" s="4" t="s">
        <v>55</v>
      </c>
      <c r="Y22" s="4" t="s">
        <v>67</v>
      </c>
      <c r="Z22" s="4" t="s">
        <v>67</v>
      </c>
      <c r="AH22" t="str">
        <f t="shared" si="0"/>
        <v/>
      </c>
      <c r="AT22" s="4" t="s">
        <v>51</v>
      </c>
      <c r="AU22" s="4" t="s">
        <v>52</v>
      </c>
      <c r="AV22" s="4" t="s">
        <v>116</v>
      </c>
      <c r="AW22" s="4" t="s">
        <v>115</v>
      </c>
      <c r="AX22" s="4" t="str">
        <f t="shared" si="1"/>
        <v>No</v>
      </c>
      <c r="AY22">
        <f>COUNTIFS([1]Sheet1!$K:$K, B22, [1]Sheet1!$N:$N, "No")</f>
        <v>1</v>
      </c>
      <c r="AZ22">
        <f>COUNTIFS([1]Sheet1!$K:$K, B22, [1]Sheet1!$O:$O, "Yes")</f>
        <v>0</v>
      </c>
    </row>
    <row r="23" spans="1:52" x14ac:dyDescent="0.35">
      <c r="A23" s="2" t="s">
        <v>63</v>
      </c>
      <c r="B23" s="3" t="s">
        <v>120</v>
      </c>
      <c r="C23" s="4" t="s">
        <v>121</v>
      </c>
      <c r="G23" s="4" t="s">
        <v>120</v>
      </c>
      <c r="I23" s="4" t="s">
        <v>60</v>
      </c>
      <c r="J23" s="4" t="s">
        <v>55</v>
      </c>
      <c r="K23" s="4" t="s">
        <v>55</v>
      </c>
      <c r="O23" s="4" t="s">
        <v>122</v>
      </c>
      <c r="Q23" s="4" t="s">
        <v>71</v>
      </c>
      <c r="R23" s="4" t="s">
        <v>0</v>
      </c>
      <c r="S23" s="4" t="s">
        <v>66</v>
      </c>
      <c r="W23" s="4" t="s">
        <v>55</v>
      </c>
      <c r="X23" s="4" t="s">
        <v>55</v>
      </c>
      <c r="Y23" s="4" t="s">
        <v>67</v>
      </c>
      <c r="Z23" s="4" t="s">
        <v>67</v>
      </c>
      <c r="AH23" t="str">
        <f t="shared" si="0"/>
        <v/>
      </c>
      <c r="AT23" s="4" t="s">
        <v>51</v>
      </c>
      <c r="AU23" s="4" t="s">
        <v>52</v>
      </c>
      <c r="AV23" s="4" t="s">
        <v>116</v>
      </c>
      <c r="AW23" s="4" t="s">
        <v>115</v>
      </c>
      <c r="AX23" s="4" t="str">
        <f t="shared" si="1"/>
        <v>No</v>
      </c>
      <c r="AY23">
        <f>COUNTIFS([1]Sheet1!$K:$K, B23, [1]Sheet1!$N:$N, "No")</f>
        <v>1</v>
      </c>
      <c r="AZ23">
        <f>COUNTIFS([1]Sheet1!$K:$K, B23, [1]Sheet1!$O:$O, "Yes")</f>
        <v>0</v>
      </c>
    </row>
    <row r="24" spans="1:52" x14ac:dyDescent="0.35">
      <c r="A24" s="2" t="s">
        <v>72</v>
      </c>
      <c r="B24" s="3" t="s">
        <v>123</v>
      </c>
      <c r="C24" s="4" t="s">
        <v>84</v>
      </c>
      <c r="D24" s="4" t="s">
        <v>85</v>
      </c>
      <c r="G24" s="4" t="s">
        <v>123</v>
      </c>
      <c r="R24" s="4" t="s">
        <v>0</v>
      </c>
      <c r="AA24" s="4" t="s">
        <v>76</v>
      </c>
      <c r="AC24" s="4" t="s">
        <v>77</v>
      </c>
      <c r="AH24" t="str">
        <f t="shared" si="0"/>
        <v/>
      </c>
      <c r="AT24" s="4" t="s">
        <v>51</v>
      </c>
      <c r="AU24" s="4" t="s">
        <v>52</v>
      </c>
      <c r="AV24" s="4" t="s">
        <v>120</v>
      </c>
      <c r="AW24" s="4" t="s">
        <v>121</v>
      </c>
      <c r="AX24" s="4" t="str">
        <f t="shared" si="1"/>
        <v>No</v>
      </c>
      <c r="AY24">
        <f>COUNTIFS([1]Sheet1!$K:$K, B24, [1]Sheet1!$N:$N, "No")</f>
        <v>1</v>
      </c>
      <c r="AZ24">
        <f>COUNTIFS([1]Sheet1!$K:$K, B24, [1]Sheet1!$O:$O, "Yes")</f>
        <v>0</v>
      </c>
    </row>
    <row r="25" spans="1:52" x14ac:dyDescent="0.35">
      <c r="A25" s="2" t="s">
        <v>72</v>
      </c>
      <c r="B25" s="3" t="s">
        <v>124</v>
      </c>
      <c r="C25" s="4" t="s">
        <v>96</v>
      </c>
      <c r="D25" s="4" t="s">
        <v>97</v>
      </c>
      <c r="G25" s="4" t="s">
        <v>124</v>
      </c>
      <c r="R25" s="4" t="s">
        <v>0</v>
      </c>
      <c r="AA25" s="4" t="s">
        <v>76</v>
      </c>
      <c r="AC25" s="4" t="s">
        <v>77</v>
      </c>
      <c r="AH25" t="str">
        <f t="shared" si="0"/>
        <v/>
      </c>
      <c r="AT25" s="4" t="s">
        <v>51</v>
      </c>
      <c r="AU25" s="4" t="s">
        <v>52</v>
      </c>
      <c r="AV25" s="4" t="s">
        <v>120</v>
      </c>
      <c r="AW25" s="4" t="s">
        <v>121</v>
      </c>
      <c r="AX25" s="4" t="str">
        <f t="shared" si="1"/>
        <v>No</v>
      </c>
      <c r="AY25">
        <f>COUNTIFS([1]Sheet1!$K:$K, B25, [1]Sheet1!$N:$N, "No")</f>
        <v>1</v>
      </c>
      <c r="AZ25">
        <f>COUNTIFS([1]Sheet1!$K:$K, B25, [1]Sheet1!$O:$O, "Yes")</f>
        <v>0</v>
      </c>
    </row>
    <row r="26" spans="1:52" x14ac:dyDescent="0.35">
      <c r="A26" s="2" t="s">
        <v>72</v>
      </c>
      <c r="B26" s="3" t="s">
        <v>125</v>
      </c>
      <c r="C26" s="4" t="s">
        <v>99</v>
      </c>
      <c r="D26" s="4" t="s">
        <v>100</v>
      </c>
      <c r="G26" s="4" t="s">
        <v>125</v>
      </c>
      <c r="R26" s="4" t="s">
        <v>0</v>
      </c>
      <c r="AA26" s="4" t="s">
        <v>76</v>
      </c>
      <c r="AC26" s="4" t="s">
        <v>77</v>
      </c>
      <c r="AH26" t="str">
        <f t="shared" si="0"/>
        <v/>
      </c>
      <c r="AT26" s="4" t="s">
        <v>51</v>
      </c>
      <c r="AU26" s="4" t="s">
        <v>52</v>
      </c>
      <c r="AV26" s="4" t="s">
        <v>120</v>
      </c>
      <c r="AW26" s="4" t="s">
        <v>121</v>
      </c>
      <c r="AX26" s="4" t="str">
        <f t="shared" si="1"/>
        <v>No</v>
      </c>
      <c r="AY26">
        <f>COUNTIFS([1]Sheet1!$K:$K, B26, [1]Sheet1!$N:$N, "No")</f>
        <v>1</v>
      </c>
      <c r="AZ26">
        <f>COUNTIFS([1]Sheet1!$K:$K, B26, [1]Sheet1!$O:$O, "Yes")</f>
        <v>0</v>
      </c>
    </row>
    <row r="27" spans="1:52" x14ac:dyDescent="0.35">
      <c r="A27" s="2" t="s">
        <v>63</v>
      </c>
      <c r="B27" s="3" t="s">
        <v>126</v>
      </c>
      <c r="C27" s="4" t="s">
        <v>127</v>
      </c>
      <c r="G27" s="4" t="s">
        <v>126</v>
      </c>
      <c r="I27" s="4" t="s">
        <v>60</v>
      </c>
      <c r="J27" s="4" t="s">
        <v>55</v>
      </c>
      <c r="K27" s="4" t="s">
        <v>55</v>
      </c>
      <c r="Q27" s="4" t="s">
        <v>128</v>
      </c>
      <c r="R27" s="4" t="s">
        <v>0</v>
      </c>
      <c r="S27" s="4" t="s">
        <v>66</v>
      </c>
      <c r="W27" s="4" t="s">
        <v>55</v>
      </c>
      <c r="X27" s="4" t="s">
        <v>55</v>
      </c>
      <c r="Y27" s="4" t="s">
        <v>67</v>
      </c>
      <c r="Z27" s="4" t="s">
        <v>67</v>
      </c>
      <c r="AH27" t="str">
        <f t="shared" si="0"/>
        <v/>
      </c>
      <c r="AT27" s="4" t="s">
        <v>51</v>
      </c>
      <c r="AU27" s="4" t="s">
        <v>52</v>
      </c>
      <c r="AV27" s="4" t="s">
        <v>116</v>
      </c>
      <c r="AW27" s="4" t="s">
        <v>115</v>
      </c>
      <c r="AX27" s="4" t="str">
        <f t="shared" si="1"/>
        <v>No</v>
      </c>
      <c r="AY27">
        <f>COUNTIFS([1]Sheet1!$K:$K, B27, [1]Sheet1!$N:$N, "No")</f>
        <v>1</v>
      </c>
      <c r="AZ27">
        <f>COUNTIFS([1]Sheet1!$K:$K, B27, [1]Sheet1!$O:$O, "Yes")</f>
        <v>0</v>
      </c>
    </row>
    <row r="28" spans="1:52" x14ac:dyDescent="0.35">
      <c r="A28" s="2" t="s">
        <v>63</v>
      </c>
      <c r="B28" s="3" t="s">
        <v>129</v>
      </c>
      <c r="C28" s="4" t="s">
        <v>130</v>
      </c>
      <c r="G28" s="4" t="s">
        <v>129</v>
      </c>
      <c r="I28" s="4" t="s">
        <v>60</v>
      </c>
      <c r="J28" s="4" t="s">
        <v>55</v>
      </c>
      <c r="K28" s="4" t="s">
        <v>55</v>
      </c>
      <c r="Q28" s="4" t="s">
        <v>71</v>
      </c>
      <c r="R28" s="4" t="s">
        <v>0</v>
      </c>
      <c r="S28" s="4" t="s">
        <v>66</v>
      </c>
      <c r="W28" s="4" t="s">
        <v>55</v>
      </c>
      <c r="X28" s="4" t="s">
        <v>55</v>
      </c>
      <c r="Y28" s="4" t="s">
        <v>67</v>
      </c>
      <c r="Z28" s="4" t="s">
        <v>67</v>
      </c>
      <c r="AH28" t="str">
        <f t="shared" si="0"/>
        <v/>
      </c>
      <c r="AT28" s="4" t="s">
        <v>51</v>
      </c>
      <c r="AU28" s="4" t="s">
        <v>52</v>
      </c>
      <c r="AV28" s="4" t="s">
        <v>116</v>
      </c>
      <c r="AW28" s="4" t="s">
        <v>115</v>
      </c>
      <c r="AX28" s="4" t="str">
        <f t="shared" si="1"/>
        <v>No</v>
      </c>
      <c r="AY28">
        <f>COUNTIFS([1]Sheet1!$K:$K, B28, [1]Sheet1!$N:$N, "No")</f>
        <v>1</v>
      </c>
      <c r="AZ28">
        <f>COUNTIFS([1]Sheet1!$K:$K, B28, [1]Sheet1!$O:$O, "Yes")</f>
        <v>0</v>
      </c>
    </row>
    <row r="29" spans="1:52" x14ac:dyDescent="0.35">
      <c r="A29" s="2" t="s">
        <v>72</v>
      </c>
      <c r="B29" s="3" t="s">
        <v>131</v>
      </c>
      <c r="C29" s="4" t="s">
        <v>84</v>
      </c>
      <c r="D29" s="4" t="s">
        <v>85</v>
      </c>
      <c r="G29" s="4" t="s">
        <v>131</v>
      </c>
      <c r="R29" s="4" t="s">
        <v>0</v>
      </c>
      <c r="AA29" s="4" t="s">
        <v>76</v>
      </c>
      <c r="AC29" s="4" t="s">
        <v>77</v>
      </c>
      <c r="AH29" t="str">
        <f t="shared" si="0"/>
        <v/>
      </c>
      <c r="AT29" s="4" t="s">
        <v>51</v>
      </c>
      <c r="AU29" s="4" t="s">
        <v>52</v>
      </c>
      <c r="AV29" s="4" t="s">
        <v>129</v>
      </c>
      <c r="AW29" s="4" t="s">
        <v>130</v>
      </c>
      <c r="AX29" s="4" t="str">
        <f t="shared" si="1"/>
        <v>No</v>
      </c>
      <c r="AY29">
        <f>COUNTIFS([1]Sheet1!$K:$K, B29, [1]Sheet1!$N:$N, "No")</f>
        <v>1</v>
      </c>
      <c r="AZ29">
        <f>COUNTIFS([1]Sheet1!$K:$K, B29, [1]Sheet1!$O:$O, "Yes")</f>
        <v>0</v>
      </c>
    </row>
    <row r="30" spans="1:52" x14ac:dyDescent="0.35">
      <c r="A30" s="2" t="s">
        <v>63</v>
      </c>
      <c r="B30" s="3" t="s">
        <v>132</v>
      </c>
      <c r="C30" s="4" t="s">
        <v>133</v>
      </c>
      <c r="G30" s="4" t="s">
        <v>132</v>
      </c>
      <c r="I30" s="4" t="s">
        <v>60</v>
      </c>
      <c r="J30" s="4" t="s">
        <v>55</v>
      </c>
      <c r="K30" s="4" t="s">
        <v>55</v>
      </c>
      <c r="Q30" s="4" t="s">
        <v>134</v>
      </c>
      <c r="R30" s="4" t="s">
        <v>0</v>
      </c>
      <c r="S30" s="4" t="s">
        <v>66</v>
      </c>
      <c r="W30" s="4" t="s">
        <v>55</v>
      </c>
      <c r="X30" s="4" t="s">
        <v>55</v>
      </c>
      <c r="Y30" s="4" t="s">
        <v>67</v>
      </c>
      <c r="Z30" s="4" t="s">
        <v>67</v>
      </c>
      <c r="AH30" t="str">
        <f t="shared" si="0"/>
        <v/>
      </c>
      <c r="AT30" s="4" t="s">
        <v>51</v>
      </c>
      <c r="AU30" s="4" t="s">
        <v>52</v>
      </c>
      <c r="AV30" s="4" t="s">
        <v>116</v>
      </c>
      <c r="AW30" s="4" t="s">
        <v>115</v>
      </c>
      <c r="AX30" s="4" t="str">
        <f t="shared" si="1"/>
        <v>No</v>
      </c>
      <c r="AY30">
        <f>COUNTIFS([1]Sheet1!$K:$K, B30, [1]Sheet1!$N:$N, "No")</f>
        <v>1</v>
      </c>
      <c r="AZ30">
        <f>COUNTIFS([1]Sheet1!$K:$K, B30, [1]Sheet1!$O:$O, "Yes")</f>
        <v>0</v>
      </c>
    </row>
    <row r="31" spans="1:52" x14ac:dyDescent="0.35">
      <c r="A31" s="2" t="s">
        <v>63</v>
      </c>
      <c r="B31" s="3" t="s">
        <v>135</v>
      </c>
      <c r="C31" s="4" t="s">
        <v>112</v>
      </c>
      <c r="G31" s="4" t="s">
        <v>135</v>
      </c>
      <c r="I31" s="4" t="s">
        <v>60</v>
      </c>
      <c r="J31" s="4" t="s">
        <v>55</v>
      </c>
      <c r="K31" s="4" t="s">
        <v>55</v>
      </c>
      <c r="Q31" s="4" t="s">
        <v>104</v>
      </c>
      <c r="R31" s="4" t="s">
        <v>0</v>
      </c>
      <c r="S31" s="4" t="s">
        <v>66</v>
      </c>
      <c r="W31" s="4" t="s">
        <v>55</v>
      </c>
      <c r="X31" s="4" t="s">
        <v>55</v>
      </c>
      <c r="Y31" s="4" t="s">
        <v>67</v>
      </c>
      <c r="Z31" s="4" t="s">
        <v>67</v>
      </c>
      <c r="AH31" t="str">
        <f t="shared" si="0"/>
        <v/>
      </c>
      <c r="AT31" s="4" t="s">
        <v>51</v>
      </c>
      <c r="AU31" s="4" t="s">
        <v>52</v>
      </c>
      <c r="AV31" s="4" t="s">
        <v>116</v>
      </c>
      <c r="AW31" s="4" t="s">
        <v>115</v>
      </c>
      <c r="AX31" s="4" t="str">
        <f t="shared" si="1"/>
        <v>No</v>
      </c>
      <c r="AY31">
        <f>COUNTIFS([1]Sheet1!$K:$K, B31, [1]Sheet1!$N:$N, "No")</f>
        <v>1</v>
      </c>
      <c r="AZ31">
        <f>COUNTIFS([1]Sheet1!$K:$K, B31, [1]Sheet1!$O:$O, "Yes")</f>
        <v>0</v>
      </c>
    </row>
    <row r="32" spans="1:52" x14ac:dyDescent="0.35">
      <c r="A32" s="2" t="s">
        <v>72</v>
      </c>
      <c r="B32" s="3" t="s">
        <v>136</v>
      </c>
      <c r="C32" s="4" t="s">
        <v>99</v>
      </c>
      <c r="D32" s="4" t="s">
        <v>100</v>
      </c>
      <c r="G32" s="4" t="s">
        <v>136</v>
      </c>
      <c r="R32" s="4" t="s">
        <v>0</v>
      </c>
      <c r="AA32" s="4" t="s">
        <v>76</v>
      </c>
      <c r="AC32" s="4" t="s">
        <v>77</v>
      </c>
      <c r="AH32" t="str">
        <f t="shared" si="0"/>
        <v/>
      </c>
      <c r="AT32" s="4" t="s">
        <v>51</v>
      </c>
      <c r="AU32" s="4" t="s">
        <v>52</v>
      </c>
      <c r="AV32" s="4" t="s">
        <v>135</v>
      </c>
      <c r="AW32" s="4" t="s">
        <v>112</v>
      </c>
      <c r="AX32" s="4" t="str">
        <f t="shared" si="1"/>
        <v>No</v>
      </c>
      <c r="AY32">
        <f>COUNTIFS([1]Sheet1!$K:$K, B32, [1]Sheet1!$N:$N, "No")</f>
        <v>1</v>
      </c>
      <c r="AZ32">
        <f>COUNTIFS([1]Sheet1!$K:$K, B32, [1]Sheet1!$O:$O, "Yes")</f>
        <v>0</v>
      </c>
    </row>
    <row r="33" spans="1:52" x14ac:dyDescent="0.35">
      <c r="A33" s="2" t="s">
        <v>137</v>
      </c>
      <c r="B33" s="3" t="s">
        <v>138</v>
      </c>
      <c r="G33" s="4" t="s">
        <v>139</v>
      </c>
      <c r="I33" s="4" t="s">
        <v>77</v>
      </c>
      <c r="J33" s="4" t="s">
        <v>55</v>
      </c>
      <c r="K33" s="4" t="s">
        <v>55</v>
      </c>
      <c r="O33" s="4" t="s">
        <v>140</v>
      </c>
      <c r="AF33" s="4" t="s">
        <v>55</v>
      </c>
      <c r="AH33" t="str">
        <f t="shared" si="0"/>
        <v/>
      </c>
      <c r="AI33" s="4" t="s">
        <v>57</v>
      </c>
      <c r="AK33" s="4" t="s">
        <v>77</v>
      </c>
      <c r="AL33" s="4" t="s">
        <v>141</v>
      </c>
      <c r="AM33" s="4" t="s">
        <v>94</v>
      </c>
      <c r="AN33" s="4" t="s">
        <v>86</v>
      </c>
      <c r="AO33" s="4" t="s">
        <v>142</v>
      </c>
      <c r="AP33" s="4" t="s">
        <v>143</v>
      </c>
      <c r="AQ33" s="4" t="s">
        <v>144</v>
      </c>
      <c r="AR33" s="4" t="s">
        <v>94</v>
      </c>
      <c r="AT33" s="4" t="s">
        <v>51</v>
      </c>
      <c r="AU33" s="4" t="s">
        <v>52</v>
      </c>
      <c r="AV33" s="4" t="s">
        <v>145</v>
      </c>
      <c r="AW33" s="4" t="s">
        <v>137</v>
      </c>
      <c r="AX33" s="4" t="str">
        <f t="shared" si="1"/>
        <v>No</v>
      </c>
      <c r="AY33">
        <f>COUNTIFS([1]Sheet1!$K:$K, B33, [1]Sheet1!$N:$N, "No")</f>
        <v>1</v>
      </c>
      <c r="AZ33">
        <f>COUNTIFS([1]Sheet1!$K:$K, B33, [1]Sheet1!$O:$O, "Yes")</f>
        <v>0</v>
      </c>
    </row>
    <row r="34" spans="1:52" x14ac:dyDescent="0.35">
      <c r="A34" s="2" t="s">
        <v>137</v>
      </c>
      <c r="B34" s="3" t="s">
        <v>146</v>
      </c>
      <c r="G34" s="4" t="s">
        <v>147</v>
      </c>
      <c r="I34" s="4" t="s">
        <v>77</v>
      </c>
      <c r="J34" s="4" t="s">
        <v>55</v>
      </c>
      <c r="K34" s="4" t="s">
        <v>55</v>
      </c>
      <c r="O34" s="4" t="s">
        <v>148</v>
      </c>
      <c r="AF34" s="4" t="s">
        <v>55</v>
      </c>
      <c r="AH34" t="str">
        <f t="shared" si="0"/>
        <v/>
      </c>
      <c r="AI34" s="4" t="s">
        <v>114</v>
      </c>
      <c r="AK34" s="4" t="s">
        <v>77</v>
      </c>
      <c r="AL34" s="4" t="s">
        <v>141</v>
      </c>
      <c r="AM34" s="4" t="s">
        <v>94</v>
      </c>
      <c r="AN34" s="4" t="s">
        <v>57</v>
      </c>
      <c r="AO34" s="4" t="s">
        <v>149</v>
      </c>
      <c r="AP34" s="4" t="s">
        <v>51</v>
      </c>
      <c r="AQ34" s="4" t="s">
        <v>144</v>
      </c>
      <c r="AR34" s="4" t="s">
        <v>94</v>
      </c>
      <c r="AT34" s="4" t="s">
        <v>51</v>
      </c>
      <c r="AU34" s="4" t="s">
        <v>52</v>
      </c>
      <c r="AV34" s="4" t="s">
        <v>145</v>
      </c>
      <c r="AW34" s="4" t="s">
        <v>137</v>
      </c>
      <c r="AX34" s="4" t="str">
        <f t="shared" si="1"/>
        <v>No</v>
      </c>
      <c r="AY34">
        <f>COUNTIFS([1]Sheet1!$K:$K, B34, [1]Sheet1!$N:$N, "No")</f>
        <v>1</v>
      </c>
      <c r="AZ34">
        <f>COUNTIFS([1]Sheet1!$K:$K, B34, [1]Sheet1!$O:$O, "Yes")</f>
        <v>0</v>
      </c>
    </row>
    <row r="35" spans="1:52" x14ac:dyDescent="0.35">
      <c r="A35" s="2" t="s">
        <v>137</v>
      </c>
      <c r="B35" s="3" t="s">
        <v>150</v>
      </c>
      <c r="G35" s="4" t="s">
        <v>151</v>
      </c>
      <c r="I35" s="4" t="s">
        <v>77</v>
      </c>
      <c r="J35" s="4" t="s">
        <v>55</v>
      </c>
      <c r="K35" s="4" t="s">
        <v>55</v>
      </c>
      <c r="AF35" s="4" t="s">
        <v>55</v>
      </c>
      <c r="AH35" t="str">
        <f t="shared" si="0"/>
        <v/>
      </c>
      <c r="AI35" s="4" t="s">
        <v>114</v>
      </c>
      <c r="AK35" s="4" t="s">
        <v>77</v>
      </c>
      <c r="AL35" s="4" t="s">
        <v>141</v>
      </c>
      <c r="AM35" s="4" t="s">
        <v>94</v>
      </c>
      <c r="AN35" s="4" t="s">
        <v>86</v>
      </c>
      <c r="AO35" s="4" t="s">
        <v>152</v>
      </c>
      <c r="AP35" s="4" t="s">
        <v>153</v>
      </c>
      <c r="AQ35" s="4" t="s">
        <v>144</v>
      </c>
      <c r="AR35" s="4" t="s">
        <v>94</v>
      </c>
      <c r="AT35" s="4" t="s">
        <v>51</v>
      </c>
      <c r="AU35" s="4" t="s">
        <v>52</v>
      </c>
      <c r="AV35" s="4" t="s">
        <v>145</v>
      </c>
      <c r="AW35" s="4" t="s">
        <v>137</v>
      </c>
      <c r="AX35" s="4" t="str">
        <f t="shared" si="1"/>
        <v>No</v>
      </c>
      <c r="AY35">
        <f>COUNTIFS([1]Sheet1!$K:$K, B35, [1]Sheet1!$N:$N, "No")</f>
        <v>1</v>
      </c>
      <c r="AZ35">
        <f>COUNTIFS([1]Sheet1!$K:$K, B35, [1]Sheet1!$O:$O, "Yes")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"/>
  <sheetViews>
    <sheetView workbookViewId="0"/>
  </sheetViews>
  <sheetFormatPr defaultRowHeight="14.5" x14ac:dyDescent="0.35"/>
  <cols>
    <col min="1" max="1" width="11" bestFit="1" customWidth="1"/>
    <col min="2" max="2" width="6.36328125" bestFit="1" customWidth="1"/>
    <col min="3" max="3" width="12.6328125" bestFit="1" customWidth="1"/>
    <col min="4" max="4" width="16.08984375" bestFit="1" customWidth="1"/>
    <col min="5" max="5" width="4.54296875" bestFit="1" customWidth="1"/>
    <col min="6" max="6" width="11.36328125" bestFit="1" customWidth="1"/>
  </cols>
  <sheetData>
    <row r="1" spans="1:6" x14ac:dyDescent="0.35">
      <c r="A1" s="5" t="s">
        <v>154</v>
      </c>
    </row>
    <row r="3" spans="1:6" x14ac:dyDescent="0.35">
      <c r="A3" s="2" t="s">
        <v>1</v>
      </c>
      <c r="B3" s="2" t="s">
        <v>2</v>
      </c>
      <c r="C3" s="2" t="s">
        <v>155</v>
      </c>
      <c r="D3" s="2" t="s">
        <v>156</v>
      </c>
      <c r="E3" s="1" t="s">
        <v>157</v>
      </c>
      <c r="F3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0"/>
  <sheetViews>
    <sheetView workbookViewId="0"/>
  </sheetViews>
  <sheetFormatPr defaultRowHeight="14.5" x14ac:dyDescent="0.35"/>
  <cols>
    <col min="1" max="1" width="21.6328125" bestFit="1" customWidth="1"/>
    <col min="2" max="2" width="3.1796875" bestFit="1" customWidth="1"/>
    <col min="3" max="3" width="9.26953125" bestFit="1" customWidth="1"/>
    <col min="4" max="4" width="32.08984375" bestFit="1" customWidth="1"/>
    <col min="5" max="5" width="11.90625" bestFit="1" customWidth="1"/>
    <col min="6" max="6" width="8.90625" bestFit="1" customWidth="1"/>
    <col min="7" max="7" width="8.7265625" bestFit="1" customWidth="1"/>
    <col min="8" max="8" width="5.26953125" bestFit="1" customWidth="1"/>
    <col min="9" max="9" width="11.36328125" bestFit="1" customWidth="1"/>
    <col min="10" max="11" width="12.6328125" bestFit="1" customWidth="1"/>
    <col min="12" max="12" width="10.08984375" bestFit="1" customWidth="1"/>
    <col min="13" max="13" width="13.1796875" bestFit="1" customWidth="1"/>
    <col min="14" max="14" width="32.08984375" bestFit="1" customWidth="1"/>
    <col min="15" max="15" width="8.453125" bestFit="1" customWidth="1"/>
  </cols>
  <sheetData>
    <row r="1" spans="1:15" x14ac:dyDescent="0.35">
      <c r="A1" s="5" t="s">
        <v>158</v>
      </c>
    </row>
    <row r="3" spans="1:15" x14ac:dyDescent="0.35">
      <c r="A3" s="2" t="s">
        <v>159</v>
      </c>
      <c r="B3" s="2" t="s">
        <v>1</v>
      </c>
      <c r="C3" s="1" t="s">
        <v>6</v>
      </c>
      <c r="D3" s="1" t="s">
        <v>2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4</v>
      </c>
      <c r="K3" s="1" t="s">
        <v>14</v>
      </c>
      <c r="L3" s="1" t="s">
        <v>15</v>
      </c>
      <c r="M3" s="1" t="s">
        <v>47</v>
      </c>
      <c r="N3" s="1" t="s">
        <v>48</v>
      </c>
      <c r="O3" s="1" t="s">
        <v>49</v>
      </c>
    </row>
    <row r="4" spans="1:15" x14ac:dyDescent="0.35">
      <c r="B4" s="3" t="s">
        <v>54</v>
      </c>
      <c r="C4" s="4" t="s">
        <v>54</v>
      </c>
      <c r="D4" s="4" t="s">
        <v>62</v>
      </c>
      <c r="F4" s="4" t="s">
        <v>60</v>
      </c>
      <c r="G4" s="4" t="s">
        <v>55</v>
      </c>
      <c r="H4" s="4" t="s">
        <v>55</v>
      </c>
      <c r="I4" s="4" t="s">
        <v>55</v>
      </c>
      <c r="M4" s="4" t="s">
        <v>160</v>
      </c>
      <c r="N4" s="4" t="s">
        <v>161</v>
      </c>
    </row>
    <row r="6" spans="1:15" x14ac:dyDescent="0.35">
      <c r="A6" s="2" t="s">
        <v>162</v>
      </c>
      <c r="B6" s="2" t="s">
        <v>1</v>
      </c>
      <c r="C6" s="1" t="s">
        <v>6</v>
      </c>
      <c r="D6" s="1" t="s">
        <v>2</v>
      </c>
      <c r="E6" s="1" t="s">
        <v>7</v>
      </c>
      <c r="F6" s="1" t="s">
        <v>9</v>
      </c>
      <c r="G6" s="1" t="s">
        <v>10</v>
      </c>
      <c r="H6" s="1" t="s">
        <v>11</v>
      </c>
      <c r="I6" s="1" t="s">
        <v>4</v>
      </c>
      <c r="J6" s="1" t="s">
        <v>14</v>
      </c>
      <c r="K6" s="1" t="s">
        <v>15</v>
      </c>
      <c r="L6" s="1" t="s">
        <v>47</v>
      </c>
      <c r="M6" s="1" t="s">
        <v>48</v>
      </c>
      <c r="N6" s="1" t="s">
        <v>49</v>
      </c>
    </row>
    <row r="7" spans="1:15" x14ac:dyDescent="0.35">
      <c r="B7" s="3" t="s">
        <v>160</v>
      </c>
      <c r="C7" s="4" t="s">
        <v>160</v>
      </c>
      <c r="D7" s="4" t="s">
        <v>161</v>
      </c>
      <c r="F7" s="4" t="s">
        <v>55</v>
      </c>
      <c r="G7" s="4" t="s">
        <v>55</v>
      </c>
      <c r="H7" s="4" t="s">
        <v>55</v>
      </c>
      <c r="L7" s="4" t="s">
        <v>163</v>
      </c>
      <c r="M7" s="4" t="s">
        <v>164</v>
      </c>
    </row>
    <row r="9" spans="1:15" x14ac:dyDescent="0.35">
      <c r="A9" s="2" t="s">
        <v>162</v>
      </c>
      <c r="B9" s="2" t="s">
        <v>1</v>
      </c>
      <c r="C9" s="1" t="s">
        <v>6</v>
      </c>
      <c r="D9" s="1" t="s">
        <v>2</v>
      </c>
      <c r="E9" s="1" t="s">
        <v>7</v>
      </c>
      <c r="F9" s="1" t="s">
        <v>9</v>
      </c>
      <c r="G9" s="1" t="s">
        <v>10</v>
      </c>
      <c r="H9" s="1" t="s">
        <v>11</v>
      </c>
      <c r="I9" s="1" t="s">
        <v>4</v>
      </c>
      <c r="J9" s="1" t="s">
        <v>14</v>
      </c>
      <c r="K9" s="1" t="s">
        <v>15</v>
      </c>
      <c r="L9" s="1" t="s">
        <v>47</v>
      </c>
      <c r="M9" s="1" t="s">
        <v>48</v>
      </c>
      <c r="N9" s="1" t="s">
        <v>49</v>
      </c>
    </row>
    <row r="10" spans="1:15" x14ac:dyDescent="0.35">
      <c r="B10" s="3" t="s">
        <v>163</v>
      </c>
      <c r="C10" s="4" t="s">
        <v>163</v>
      </c>
      <c r="D10" s="4" t="s">
        <v>164</v>
      </c>
      <c r="F10" s="4" t="s">
        <v>55</v>
      </c>
      <c r="G10" s="4" t="s">
        <v>55</v>
      </c>
      <c r="H10" s="4" t="s">
        <v>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9"/>
  <sheetViews>
    <sheetView workbookViewId="0">
      <selection activeCell="B25" sqref="B25"/>
    </sheetView>
  </sheetViews>
  <sheetFormatPr defaultRowHeight="14.5" x14ac:dyDescent="0.35"/>
  <cols>
    <col min="1" max="1" width="32" customWidth="1"/>
    <col min="2" max="2" width="21.6328125" bestFit="1" customWidth="1"/>
    <col min="3" max="3" width="5.1796875" bestFit="1" customWidth="1"/>
  </cols>
  <sheetData>
    <row r="1" spans="1:3" x14ac:dyDescent="0.35">
      <c r="A1" s="6" t="s">
        <v>165</v>
      </c>
    </row>
    <row r="2" spans="1:3" x14ac:dyDescent="0.35">
      <c r="A2" s="4" t="s">
        <v>166</v>
      </c>
    </row>
    <row r="3" spans="1:3" x14ac:dyDescent="0.35">
      <c r="A3" s="4" t="s">
        <v>168</v>
      </c>
      <c r="B3" s="4" t="s">
        <v>57</v>
      </c>
      <c r="C3" s="4" t="s">
        <v>167</v>
      </c>
    </row>
    <row r="4" spans="1:3" x14ac:dyDescent="0.35">
      <c r="A4" s="4" t="s">
        <v>51</v>
      </c>
      <c r="B4" s="4" t="s">
        <v>169</v>
      </c>
    </row>
    <row r="5" spans="1:3" x14ac:dyDescent="0.35">
      <c r="A5" s="4" t="s">
        <v>54</v>
      </c>
      <c r="B5" s="4" t="s">
        <v>170</v>
      </c>
    </row>
    <row r="6" spans="1:3" x14ac:dyDescent="0.35">
      <c r="A6" s="4" t="s">
        <v>57</v>
      </c>
      <c r="B6" s="4" t="s">
        <v>171</v>
      </c>
    </row>
    <row r="7" spans="1:3" x14ac:dyDescent="0.35">
      <c r="A7" s="4" t="s">
        <v>59</v>
      </c>
      <c r="B7" s="4" t="s">
        <v>172</v>
      </c>
    </row>
    <row r="8" spans="1:3" x14ac:dyDescent="0.35">
      <c r="A8" s="4" t="s">
        <v>64</v>
      </c>
      <c r="B8" s="4" t="s">
        <v>173</v>
      </c>
    </row>
    <row r="9" spans="1:3" x14ac:dyDescent="0.35">
      <c r="A9" s="4" t="s">
        <v>68</v>
      </c>
      <c r="B9" s="4" t="s">
        <v>174</v>
      </c>
    </row>
    <row r="10" spans="1:3" x14ac:dyDescent="0.35">
      <c r="A10" s="4" t="s">
        <v>73</v>
      </c>
      <c r="B10" s="4" t="s">
        <v>175</v>
      </c>
    </row>
    <row r="11" spans="1:3" x14ac:dyDescent="0.35">
      <c r="A11" s="4" t="s">
        <v>78</v>
      </c>
      <c r="B11" s="4" t="s">
        <v>176</v>
      </c>
    </row>
    <row r="12" spans="1:3" x14ac:dyDescent="0.35">
      <c r="A12" s="4" t="s">
        <v>81</v>
      </c>
      <c r="B12" s="4" t="s">
        <v>177</v>
      </c>
    </row>
    <row r="13" spans="1:3" x14ac:dyDescent="0.35">
      <c r="A13" s="4" t="s">
        <v>83</v>
      </c>
      <c r="B13" s="4" t="s">
        <v>178</v>
      </c>
    </row>
    <row r="14" spans="1:3" x14ac:dyDescent="0.35">
      <c r="A14" s="4" t="s">
        <v>86</v>
      </c>
      <c r="B14" s="4" t="s">
        <v>179</v>
      </c>
    </row>
    <row r="15" spans="1:3" x14ac:dyDescent="0.35">
      <c r="A15" s="4" t="s">
        <v>88</v>
      </c>
      <c r="B15" s="4" t="s">
        <v>180</v>
      </c>
    </row>
    <row r="16" spans="1:3" x14ac:dyDescent="0.35">
      <c r="A16" s="4" t="s">
        <v>91</v>
      </c>
      <c r="B16" s="4" t="s">
        <v>181</v>
      </c>
    </row>
    <row r="17" spans="1:2" x14ac:dyDescent="0.35">
      <c r="A17" s="4" t="s">
        <v>95</v>
      </c>
      <c r="B17" s="4" t="s">
        <v>182</v>
      </c>
    </row>
    <row r="18" spans="1:2" x14ac:dyDescent="0.35">
      <c r="A18" s="4" t="s">
        <v>98</v>
      </c>
      <c r="B18" s="4" t="s">
        <v>183</v>
      </c>
    </row>
    <row r="19" spans="1:2" x14ac:dyDescent="0.35">
      <c r="A19" s="4" t="s">
        <v>102</v>
      </c>
      <c r="B19" s="4" t="s">
        <v>184</v>
      </c>
    </row>
    <row r="20" spans="1:2" x14ac:dyDescent="0.35">
      <c r="A20" s="4" t="s">
        <v>106</v>
      </c>
      <c r="B20" s="4" t="s">
        <v>185</v>
      </c>
    </row>
    <row r="21" spans="1:2" x14ac:dyDescent="0.35">
      <c r="A21" s="4" t="s">
        <v>108</v>
      </c>
      <c r="B21" s="4" t="s">
        <v>186</v>
      </c>
    </row>
    <row r="22" spans="1:2" x14ac:dyDescent="0.35">
      <c r="A22" s="4" t="s">
        <v>109</v>
      </c>
      <c r="B22" s="4" t="s">
        <v>187</v>
      </c>
    </row>
    <row r="23" spans="1:2" x14ac:dyDescent="0.35">
      <c r="A23" s="4" t="s">
        <v>110</v>
      </c>
      <c r="B23" s="4" t="s">
        <v>188</v>
      </c>
    </row>
    <row r="24" spans="1:2" x14ac:dyDescent="0.35">
      <c r="A24" s="4" t="s">
        <v>111</v>
      </c>
      <c r="B24" s="4" t="s">
        <v>189</v>
      </c>
    </row>
    <row r="25" spans="1:2" x14ac:dyDescent="0.35">
      <c r="A25" s="4" t="s">
        <v>113</v>
      </c>
      <c r="B25" s="4" t="s">
        <v>190</v>
      </c>
    </row>
    <row r="26" spans="1:2" x14ac:dyDescent="0.35">
      <c r="A26" s="4" t="s">
        <v>114</v>
      </c>
      <c r="B26" s="4" t="s">
        <v>191</v>
      </c>
    </row>
    <row r="27" spans="1:2" x14ac:dyDescent="0.35">
      <c r="A27" s="4" t="s">
        <v>116</v>
      </c>
      <c r="B27" s="4" t="s">
        <v>192</v>
      </c>
    </row>
    <row r="28" spans="1:2" x14ac:dyDescent="0.35">
      <c r="A28" s="4" t="s">
        <v>118</v>
      </c>
      <c r="B28" s="4" t="s">
        <v>193</v>
      </c>
    </row>
    <row r="29" spans="1:2" x14ac:dyDescent="0.35">
      <c r="A29" s="4" t="s">
        <v>120</v>
      </c>
      <c r="B29" s="4" t="s">
        <v>194</v>
      </c>
    </row>
    <row r="30" spans="1:2" x14ac:dyDescent="0.35">
      <c r="A30" s="4" t="s">
        <v>123</v>
      </c>
      <c r="B30" s="4" t="s">
        <v>195</v>
      </c>
    </row>
    <row r="31" spans="1:2" x14ac:dyDescent="0.35">
      <c r="A31" s="4" t="s">
        <v>124</v>
      </c>
      <c r="B31" s="4" t="s">
        <v>196</v>
      </c>
    </row>
    <row r="32" spans="1:2" x14ac:dyDescent="0.35">
      <c r="A32" s="4" t="s">
        <v>125</v>
      </c>
      <c r="B32" s="4" t="s">
        <v>197</v>
      </c>
    </row>
    <row r="33" spans="1:2" x14ac:dyDescent="0.35">
      <c r="A33" s="4" t="s">
        <v>126</v>
      </c>
      <c r="B33" s="4" t="s">
        <v>198</v>
      </c>
    </row>
    <row r="34" spans="1:2" x14ac:dyDescent="0.35">
      <c r="A34" s="4" t="s">
        <v>129</v>
      </c>
      <c r="B34" s="4" t="s">
        <v>199</v>
      </c>
    </row>
    <row r="35" spans="1:2" x14ac:dyDescent="0.35">
      <c r="A35" s="4" t="s">
        <v>131</v>
      </c>
      <c r="B35" s="4" t="s">
        <v>200</v>
      </c>
    </row>
    <row r="36" spans="1:2" x14ac:dyDescent="0.35">
      <c r="A36" s="4" t="s">
        <v>132</v>
      </c>
      <c r="B36" s="4" t="s">
        <v>201</v>
      </c>
    </row>
    <row r="37" spans="1:2" x14ac:dyDescent="0.35">
      <c r="A37" s="4" t="s">
        <v>135</v>
      </c>
      <c r="B37" s="4" t="s">
        <v>202</v>
      </c>
    </row>
    <row r="38" spans="1:2" x14ac:dyDescent="0.35">
      <c r="A38" s="4" t="s">
        <v>136</v>
      </c>
      <c r="B38" s="4" t="s">
        <v>203</v>
      </c>
    </row>
    <row r="39" spans="1:2" x14ac:dyDescent="0.35">
      <c r="A39" s="4" t="s">
        <v>138</v>
      </c>
      <c r="B39" s="4" t="s">
        <v>204</v>
      </c>
    </row>
    <row r="40" spans="1:2" x14ac:dyDescent="0.35">
      <c r="A40" s="4" t="s">
        <v>205</v>
      </c>
      <c r="B40" s="4" t="s">
        <v>206</v>
      </c>
    </row>
    <row r="41" spans="1:2" x14ac:dyDescent="0.35">
      <c r="A41" s="4" t="s">
        <v>139</v>
      </c>
      <c r="B41" s="4" t="s">
        <v>207</v>
      </c>
    </row>
    <row r="42" spans="1:2" x14ac:dyDescent="0.35">
      <c r="A42" s="4" t="s">
        <v>145</v>
      </c>
      <c r="B42" s="4" t="s">
        <v>208</v>
      </c>
    </row>
    <row r="43" spans="1:2" x14ac:dyDescent="0.35">
      <c r="A43" s="4" t="s">
        <v>146</v>
      </c>
      <c r="B43" s="4" t="s">
        <v>209</v>
      </c>
    </row>
    <row r="44" spans="1:2" x14ac:dyDescent="0.35">
      <c r="A44" s="4" t="s">
        <v>210</v>
      </c>
      <c r="B44" s="4" t="s">
        <v>211</v>
      </c>
    </row>
    <row r="45" spans="1:2" x14ac:dyDescent="0.35">
      <c r="A45" s="4" t="s">
        <v>147</v>
      </c>
      <c r="B45" s="4" t="s">
        <v>212</v>
      </c>
    </row>
    <row r="46" spans="1:2" x14ac:dyDescent="0.35">
      <c r="A46" s="4" t="s">
        <v>150</v>
      </c>
      <c r="B46" s="4" t="s">
        <v>213</v>
      </c>
    </row>
    <row r="47" spans="1:2" x14ac:dyDescent="0.35">
      <c r="A47" s="4" t="s">
        <v>151</v>
      </c>
      <c r="B47" s="4" t="s">
        <v>214</v>
      </c>
    </row>
    <row r="48" spans="1:2" x14ac:dyDescent="0.35">
      <c r="A48" s="4" t="s">
        <v>160</v>
      </c>
      <c r="B48" s="4" t="s">
        <v>215</v>
      </c>
    </row>
    <row r="49" spans="1:2" x14ac:dyDescent="0.35">
      <c r="A49" s="4" t="s">
        <v>163</v>
      </c>
      <c r="B49" s="4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DCD2</vt:lpstr>
      <vt:lpstr>References</vt:lpstr>
      <vt:lpstr>Diagram Parent Model</vt:lpstr>
      <vt:lpstr>System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Fien Spriet</cp:lastModifiedBy>
  <dcterms:created xsi:type="dcterms:W3CDTF">2025-11-01T13:34:02Z</dcterms:created>
  <dcterms:modified xsi:type="dcterms:W3CDTF">2025-11-01T13:51:05Z</dcterms:modified>
</cp:coreProperties>
</file>