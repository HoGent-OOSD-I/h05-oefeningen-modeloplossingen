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fspr805\Documents\Git projecten\OOSD I\H05\H05_oefOpl\"/>
    </mc:Choice>
  </mc:AlternateContent>
  <xr:revisionPtr revIDLastSave="0" documentId="13_ncr:1_{06994DA4-6885-46F1-928B-5A8120C4B0AA}" xr6:coauthVersionLast="47" xr6:coauthVersionMax="47" xr10:uidLastSave="{00000000-0000-0000-0000-000000000000}"/>
  <bookViews>
    <workbookView xWindow="28680" yWindow="-120" windowWidth="29040" windowHeight="15720" tabRatio="591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Sheet1!$D$1:$O$70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D48" i="1" l="1"/>
  <c r="N48" i="1" s="1"/>
  <c r="K48" i="1"/>
  <c r="K24" i="1"/>
  <c r="D24" i="1"/>
  <c r="N24" i="1" s="1"/>
  <c r="K31" i="1" l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9" i="1"/>
  <c r="K50" i="1"/>
  <c r="K51" i="1"/>
  <c r="K52" i="1"/>
  <c r="K53" i="1"/>
  <c r="K54" i="1"/>
  <c r="K55" i="1"/>
  <c r="K56" i="1"/>
  <c r="K57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5" i="1" s="1"/>
  <c r="D27" i="1" s="1"/>
  <c r="D3" i="1"/>
  <c r="D26" i="1" l="1"/>
  <c r="D29" i="1"/>
  <c r="D30" i="1" s="1"/>
  <c r="D28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5" i="1"/>
  <c r="K26" i="1"/>
  <c r="K27" i="1"/>
  <c r="K28" i="1"/>
  <c r="K29" i="1"/>
  <c r="K30" i="1"/>
  <c r="K2" i="1"/>
  <c r="N6" i="1"/>
  <c r="N25" i="1"/>
  <c r="N23" i="1"/>
  <c r="N16" i="1"/>
  <c r="N17" i="1"/>
  <c r="N19" i="1"/>
  <c r="N20" i="1"/>
  <c r="N21" i="1"/>
  <c r="N22" i="1"/>
  <c r="N18" i="1"/>
  <c r="N15" i="1"/>
  <c r="D33" i="1" l="1"/>
  <c r="N33" i="1" s="1"/>
  <c r="D31" i="1"/>
  <c r="N31" i="1" s="1"/>
  <c r="D32" i="1"/>
  <c r="N32" i="1" s="1"/>
  <c r="D34" i="1"/>
  <c r="N34" i="1" s="1"/>
  <c r="D35" i="1" l="1"/>
  <c r="N35" i="1" s="1"/>
  <c r="N26" i="1"/>
  <c r="N27" i="1"/>
  <c r="N3" i="1"/>
  <c r="N4" i="1"/>
  <c r="N5" i="1"/>
  <c r="N7" i="1"/>
  <c r="N8" i="1"/>
  <c r="N9" i="1"/>
  <c r="N10" i="1"/>
  <c r="N11" i="1"/>
  <c r="N12" i="1"/>
  <c r="N13" i="1"/>
  <c r="N14" i="1"/>
  <c r="D37" i="1" l="1"/>
  <c r="N37" i="1" s="1"/>
  <c r="D38" i="1"/>
  <c r="N38" i="1" s="1"/>
  <c r="D39" i="1"/>
  <c r="N39" i="1" s="1"/>
  <c r="D40" i="1"/>
  <c r="N40" i="1" s="1"/>
  <c r="D41" i="1"/>
  <c r="N41" i="1" s="1"/>
  <c r="D42" i="1"/>
  <c r="D43" i="1"/>
  <c r="N43" i="1" s="1"/>
  <c r="D44" i="1"/>
  <c r="N44" i="1" s="1"/>
  <c r="D45" i="1"/>
  <c r="N45" i="1" s="1"/>
  <c r="D46" i="1"/>
  <c r="N46" i="1" s="1"/>
  <c r="D47" i="1"/>
  <c r="D36" i="1"/>
  <c r="N36" i="1" s="1"/>
  <c r="N28" i="1"/>
  <c r="O2" i="1"/>
  <c r="N2" i="1"/>
  <c r="N42" i="1" l="1"/>
  <c r="D49" i="1"/>
  <c r="N47" i="1"/>
  <c r="N29" i="1"/>
  <c r="N30" i="1"/>
  <c r="D50" i="1" l="1"/>
  <c r="N49" i="1"/>
  <c r="D51" i="1" l="1"/>
  <c r="N50" i="1"/>
  <c r="D52" i="1" l="1"/>
  <c r="N52" i="1" s="1"/>
  <c r="D54" i="1"/>
  <c r="N54" i="1" s="1"/>
  <c r="N51" i="1"/>
  <c r="D53" i="1"/>
  <c r="N53" i="1" s="1"/>
  <c r="D55" i="1"/>
  <c r="N55" i="1" l="1"/>
  <c r="D56" i="1"/>
  <c r="N56" i="1" l="1"/>
  <c r="D57" i="1"/>
  <c r="N57" i="1" s="1"/>
</calcChain>
</file>

<file path=xl/sharedStrings.xml><?xml version="1.0" encoding="utf-8"?>
<sst xmlns="http://schemas.openxmlformats.org/spreadsheetml/2006/main" count="410" uniqueCount="120">
  <si>
    <t>wat?</t>
  </si>
  <si>
    <t>AX</t>
  </si>
  <si>
    <t>No</t>
  </si>
  <si>
    <t>AH</t>
  </si>
  <si>
    <t>Yes</t>
  </si>
  <si>
    <t>Stappen</t>
  </si>
  <si>
    <t>Iteratie</t>
  </si>
  <si>
    <t>Toon tem stap:</t>
  </si>
  <si>
    <t>AX (delete)</t>
  </si>
  <si>
    <t>AH (getter)</t>
  </si>
  <si>
    <t>Default AX</t>
  </si>
  <si>
    <t>Default AH</t>
  </si>
  <si>
    <t>Klasse</t>
  </si>
  <si>
    <t>Methode</t>
  </si>
  <si>
    <t>Attribuut</t>
  </si>
  <si>
    <t>Associatie</t>
  </si>
  <si>
    <t>Parameter</t>
  </si>
  <si>
    <t>DC</t>
  </si>
  <si>
    <t>ID VP</t>
  </si>
  <si>
    <t>ID VP (nr)</t>
  </si>
  <si>
    <t>ctor</t>
  </si>
  <si>
    <t>IT 1 Blok 2</t>
  </si>
  <si>
    <t>maakCategorie</t>
  </si>
  <si>
    <t>param omschrijving</t>
  </si>
  <si>
    <t>param kracht</t>
  </si>
  <si>
    <t>param lenigheid</t>
  </si>
  <si>
    <t>param snelheid</t>
  </si>
  <si>
    <t>Categorie</t>
  </si>
  <si>
    <t>omschrijving (geen getter)</t>
  </si>
  <si>
    <t>kracht (geen getter)</t>
  </si>
  <si>
    <t>snelheid (geen getter)</t>
  </si>
  <si>
    <t>lenigheid (geen getter)</t>
  </si>
  <si>
    <t>CRepo</t>
  </si>
  <si>
    <t>dc -&gt; cRepo</t>
  </si>
  <si>
    <t>cRepo -&gt; cat</t>
  </si>
  <si>
    <t>voegToe</t>
  </si>
  <si>
    <t>IT 2 Blok 1</t>
  </si>
  <si>
    <t>geefCategorieen</t>
  </si>
  <si>
    <t>IT 2 Blok 2</t>
  </si>
  <si>
    <t>getCategorieen</t>
  </si>
  <si>
    <t>kracht (getter)</t>
  </si>
  <si>
    <t>snelheid (getter)</t>
  </si>
  <si>
    <t>lenigheid (getter)</t>
  </si>
  <si>
    <t>selecteerCategorie</t>
  </si>
  <si>
    <t>geefCategorie</t>
  </si>
  <si>
    <t>dc -&gt; huidigeCategorie</t>
  </si>
  <si>
    <t>IT 2 Blok 3</t>
  </si>
  <si>
    <t>maakPersonage</t>
  </si>
  <si>
    <t>naam</t>
  </si>
  <si>
    <t>Personage</t>
  </si>
  <si>
    <t>pers -&gt; cat</t>
  </si>
  <si>
    <t>categorie</t>
  </si>
  <si>
    <t>PRepo</t>
  </si>
  <si>
    <t>dc -&gt; pRepo</t>
  </si>
  <si>
    <t>pRepo -&gt; pers</t>
  </si>
  <si>
    <t>IT 3 Blok 1</t>
  </si>
  <si>
    <t>geefPersonages</t>
  </si>
  <si>
    <t>getPersonages</t>
  </si>
  <si>
    <t>IT 3 Blok 2</t>
  </si>
  <si>
    <t>selecteerPersonage</t>
  </si>
  <si>
    <t>omschrijving</t>
  </si>
  <si>
    <t>geefPersonage</t>
  </si>
  <si>
    <t>dc -&gt; huidigPersonage</t>
  </si>
  <si>
    <t>geefDetailsPersonage</t>
  </si>
  <si>
    <t>getCategorie</t>
  </si>
  <si>
    <t>35iMhsGGAqAAyxH8</t>
  </si>
  <si>
    <t>43SMhsGGAqAAyxMN</t>
  </si>
  <si>
    <t>KQKMhsGGAqAAyxOM</t>
  </si>
  <si>
    <t>YQqMhsGGAqAAyxOV</t>
  </si>
  <si>
    <t>kUaMhsGGAqAAyxOj</t>
  </si>
  <si>
    <t>AGUMhsGGAqAAyxB6</t>
  </si>
  <si>
    <t>AGUMhsGGAqAAyxB8</t>
  </si>
  <si>
    <t>AGUMhsGGAqAAyxCA</t>
  </si>
  <si>
    <t>riioQSGGAqAAyxMN</t>
  </si>
  <si>
    <t>AGUMhsGGAqAAyxCC</t>
  </si>
  <si>
    <t>AGUMhsGGAqAAyxB4</t>
  </si>
  <si>
    <t>zDTcZsGGAqAAywZg</t>
  </si>
  <si>
    <t>zPL8ZsGGAqAAywjk</t>
  </si>
  <si>
    <t>7PL8ZsGGAqAAywjm</t>
  </si>
  <si>
    <t>_c4CZsGGAqAAywjs</t>
  </si>
  <si>
    <t>A84CZsGGAqAAywju</t>
  </si>
  <si>
    <t>gGUMhsGGAqAAyxCG</t>
  </si>
  <si>
    <t>W52WhsGGAqAAyxTA</t>
  </si>
  <si>
    <t>W52WhsGGAqAAyxTC</t>
  </si>
  <si>
    <t>_IU2hsGGAqAAyxTI</t>
  </si>
  <si>
    <t>IGUMhsGGAqAAyxCm</t>
  </si>
  <si>
    <t>oGUMhsGGAqAAyxCs</t>
  </si>
  <si>
    <t>oGUMhsGGAqAAyxCu</t>
  </si>
  <si>
    <t>PHDqZsGGAqAAywmB</t>
  </si>
  <si>
    <t>1SSaZsGGAqAAywmP</t>
  </si>
  <si>
    <t>tSSaZsGGAqAAywmR</t>
  </si>
  <si>
    <t>YGUMhsGGAqAAyxC4</t>
  </si>
  <si>
    <t>YGUMhsGGAqAAyxC6</t>
  </si>
  <si>
    <t>YGUMhsGGAqAAyxC8</t>
  </si>
  <si>
    <t>4GUMhsGGAqAAyxC.</t>
  </si>
  <si>
    <t>4GUMhsGGAqAAyxDA</t>
  </si>
  <si>
    <t>4GUMhsGGAqAAyxDC</t>
  </si>
  <si>
    <t>4GUMhsGGAqAAyxDE</t>
  </si>
  <si>
    <t>4GUMhsGGAqAAyxDG</t>
  </si>
  <si>
    <t>4GUMhsGGAqAAyxDI</t>
  </si>
  <si>
    <t>k3SMhsGGAqAAyxMP</t>
  </si>
  <si>
    <t>UUaMhsGGAqAAyxOp</t>
  </si>
  <si>
    <t>qQKMhsGGAqAAyxOO</t>
  </si>
  <si>
    <t>4QqMhsGGAqAAyxOX</t>
  </si>
  <si>
    <t>EQqMhsGGAqAAyxOZ</t>
  </si>
  <si>
    <t>UUaMhsGGAqAAyxOn</t>
  </si>
  <si>
    <t>tyv.hsGGAqAAyxUI</t>
  </si>
  <si>
    <t>P6UMhsGGAqAAyxBt</t>
  </si>
  <si>
    <t>naam (met getter)</t>
  </si>
  <si>
    <t>YmSmZsGGAqAAywoc</t>
  </si>
  <si>
    <t>4mSmZsGGAqAAywoe</t>
  </si>
  <si>
    <t>4mSmZsGGAqAAywog</t>
  </si>
  <si>
    <t>LsThhsGGAqAAyxUz</t>
  </si>
  <si>
    <t>wGUMhsGGAqAAyxCY</t>
  </si>
  <si>
    <t>MJdGZsGGAqAAywn6</t>
  </si>
  <si>
    <t>personage</t>
  </si>
  <si>
    <t>sJdGZsGGAqAAywn8</t>
  </si>
  <si>
    <t>EiTGZsGGAqAAywoC</t>
  </si>
  <si>
    <t>wGUMhsGGAqAAyxCa</t>
  </si>
  <si>
    <t>wGUMhsGGAqAAyxCc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</si>
</sst>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spr805\Documents\Git%20projecten\OOSD%20I\H05\H05_oefOpl\personages_exportVP.xlsx" TargetMode="External"/><Relationship Id="rId1" Type="http://schemas.openxmlformats.org/officeDocument/2006/relationships/externalLinkPath" Target="personages_exportV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omein"/>
      <sheetName val="References"/>
      <sheetName val="Diagram Parent Model"/>
      <sheetName val="System Data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WARNING: Do NOT modify this sheet</v>
          </cell>
        </row>
        <row r="2">
          <cell r="A2" t="str">
            <v>20250813</v>
          </cell>
        </row>
        <row r="3">
          <cell r="A3" t="str">
            <v>ee3f96ccfcb2931a592113c0264fee81</v>
          </cell>
          <cell r="B3" t="str">
            <v>3</v>
          </cell>
        </row>
        <row r="4">
          <cell r="A4" t="str">
            <v>1</v>
          </cell>
          <cell r="B4" t="str">
            <v>uCcMhsGGAqAAyxEd</v>
          </cell>
        </row>
        <row r="5">
          <cell r="A5" t="str">
            <v>2</v>
          </cell>
          <cell r="B5" t="str">
            <v>36UMhsGGAqAAyxBq</v>
          </cell>
        </row>
        <row r="6">
          <cell r="A6" t="str">
            <v>3</v>
          </cell>
          <cell r="B6" t="str">
            <v>kUaMhsGGAqAAyxOj</v>
          </cell>
        </row>
        <row r="7">
          <cell r="A7" t="str">
            <v>4</v>
          </cell>
          <cell r="B7" t="str">
            <v>oGUMhsGGAqAAyxC2</v>
          </cell>
        </row>
        <row r="8">
          <cell r="A8" t="str">
            <v>5</v>
          </cell>
          <cell r="B8" t="str">
            <v>YGUMhsGGAqAAyxC4</v>
          </cell>
        </row>
        <row r="9">
          <cell r="A9" t="str">
            <v>6</v>
          </cell>
          <cell r="B9" t="str">
            <v>YGUMhsGGAqAAyxC6</v>
          </cell>
        </row>
        <row r="10">
          <cell r="A10" t="str">
            <v>7</v>
          </cell>
          <cell r="B10" t="str">
            <v>YGUMhsGGAqAAyxC8</v>
          </cell>
        </row>
        <row r="11">
          <cell r="A11" t="str">
            <v>8</v>
          </cell>
          <cell r="B11" t="str">
            <v>4GUMhsGGAqAAyxC.</v>
          </cell>
        </row>
        <row r="12">
          <cell r="A12" t="str">
            <v>9</v>
          </cell>
          <cell r="B12" t="str">
            <v>4GUMhsGGAqAAyxDA</v>
          </cell>
        </row>
        <row r="13">
          <cell r="A13" t="str">
            <v>10</v>
          </cell>
          <cell r="B13" t="str">
            <v>4GUMhsGGAqAAyxDC</v>
          </cell>
        </row>
        <row r="14">
          <cell r="A14" t="str">
            <v>11</v>
          </cell>
          <cell r="B14" t="str">
            <v>4GUMhsGGAqAAyxDE</v>
          </cell>
        </row>
        <row r="15">
          <cell r="A15" t="str">
            <v>12</v>
          </cell>
          <cell r="B15" t="str">
            <v>4GUMhsGGAqAAyxDG</v>
          </cell>
        </row>
        <row r="16">
          <cell r="A16" t="str">
            <v>13</v>
          </cell>
          <cell r="B16" t="str">
            <v>4GUMhsGGAqAAyxDI</v>
          </cell>
        </row>
        <row r="17">
          <cell r="A17" t="str">
            <v>14</v>
          </cell>
          <cell r="B17" t="str">
            <v>YQqMhsGGAqAAyxOV</v>
          </cell>
        </row>
        <row r="18">
          <cell r="A18" t="str">
            <v>15</v>
          </cell>
          <cell r="B18" t="str">
            <v>36UMhsGGAqAAyxBr</v>
          </cell>
        </row>
        <row r="19">
          <cell r="A19" t="str">
            <v>16</v>
          </cell>
          <cell r="B19" t="str">
            <v>P6UMhsGGAqAAyxBt</v>
          </cell>
        </row>
        <row r="20">
          <cell r="A20" t="str">
            <v>17</v>
          </cell>
          <cell r="B20" t="str">
            <v>YmSmZsGGAqAAywoc</v>
          </cell>
        </row>
        <row r="21">
          <cell r="A21" t="str">
            <v>18</v>
          </cell>
          <cell r="B21" t="str">
            <v>4mSmZsGGAqAAywoe</v>
          </cell>
        </row>
        <row r="22">
          <cell r="A22" t="str">
            <v>19</v>
          </cell>
          <cell r="B22" t="str">
            <v>4mSmZsGGAqAAywog</v>
          </cell>
        </row>
        <row r="23">
          <cell r="A23" t="str">
            <v>20</v>
          </cell>
          <cell r="B23" t="str">
            <v>LsThhsGGAqAAyxUz</v>
          </cell>
        </row>
        <row r="24">
          <cell r="A24" t="str">
            <v>21</v>
          </cell>
          <cell r="B24" t="str">
            <v>KQKMhsGGAqAAyxOM</v>
          </cell>
        </row>
        <row r="25">
          <cell r="A25" t="str">
            <v>22</v>
          </cell>
          <cell r="B25" t="str">
            <v>QGUMhsGGAqAAyxCW</v>
          </cell>
        </row>
        <row r="26">
          <cell r="A26" t="str">
            <v>23</v>
          </cell>
          <cell r="B26" t="str">
            <v>wGUMhsGGAqAAyxCY</v>
          </cell>
        </row>
        <row r="27">
          <cell r="A27" t="str">
            <v>24</v>
          </cell>
          <cell r="B27" t="str">
            <v>MJdGZsGGAqAAywn6</v>
          </cell>
        </row>
        <row r="28">
          <cell r="A28" t="str">
            <v>25</v>
          </cell>
          <cell r="B28" t="str">
            <v>sJdGZsGGAqAAywn8</v>
          </cell>
        </row>
        <row r="29">
          <cell r="A29" t="str">
            <v>26</v>
          </cell>
          <cell r="B29" t="str">
            <v>EiTGZsGGAqAAywoC</v>
          </cell>
        </row>
        <row r="30">
          <cell r="A30" t="str">
            <v>27</v>
          </cell>
          <cell r="B30" t="str">
            <v>wGUMhsGGAqAAyxCa</v>
          </cell>
        </row>
        <row r="31">
          <cell r="A31" t="str">
            <v>28</v>
          </cell>
          <cell r="B31" t="str">
            <v>wGUMhsGGAqAAyxCc</v>
          </cell>
        </row>
        <row r="32">
          <cell r="A32" t="str">
            <v>29</v>
          </cell>
          <cell r="B32" t="str">
            <v>43SMhsGGAqAAyxMN</v>
          </cell>
        </row>
        <row r="33">
          <cell r="A33" t="str">
            <v>30</v>
          </cell>
          <cell r="B33" t="str">
            <v>IGUMhsGGAqAAyxCk</v>
          </cell>
        </row>
        <row r="34">
          <cell r="A34" t="str">
            <v>31</v>
          </cell>
          <cell r="B34" t="str">
            <v>IGUMhsGGAqAAyxCm</v>
          </cell>
        </row>
        <row r="35">
          <cell r="A35" t="str">
            <v>32</v>
          </cell>
          <cell r="B35" t="str">
            <v>oGUMhsGGAqAAyxCs</v>
          </cell>
        </row>
        <row r="36">
          <cell r="A36" t="str">
            <v>33</v>
          </cell>
          <cell r="B36" t="str">
            <v>oGUMhsGGAqAAyxCu</v>
          </cell>
        </row>
        <row r="37">
          <cell r="A37" t="str">
            <v>34</v>
          </cell>
          <cell r="B37" t="str">
            <v>PHDqZsGGAqAAywmB</v>
          </cell>
        </row>
        <row r="38">
          <cell r="A38" t="str">
            <v>35</v>
          </cell>
          <cell r="B38" t="str">
            <v>1SSaZsGGAqAAywmP</v>
          </cell>
        </row>
        <row r="39">
          <cell r="A39" t="str">
            <v>36</v>
          </cell>
          <cell r="B39" t="str">
            <v>tSSaZsGGAqAAywmR</v>
          </cell>
        </row>
        <row r="40">
          <cell r="A40" t="str">
            <v>37</v>
          </cell>
          <cell r="B40" t="str">
            <v>35iMhsGGAqAAyxH8</v>
          </cell>
        </row>
        <row r="41">
          <cell r="A41" t="str">
            <v>38</v>
          </cell>
          <cell r="B41" t="str">
            <v>_6UMhsGGAqAAyxB2</v>
          </cell>
        </row>
        <row r="42">
          <cell r="A42" t="str">
            <v>39</v>
          </cell>
          <cell r="B42" t="str">
            <v>AGUMhsGGAqAAyxB4</v>
          </cell>
        </row>
        <row r="43">
          <cell r="A43" t="str">
            <v>40</v>
          </cell>
          <cell r="B43" t="str">
            <v>AGUMhsGGAqAAyxB6</v>
          </cell>
        </row>
        <row r="44">
          <cell r="A44" t="str">
            <v>41</v>
          </cell>
          <cell r="B44" t="str">
            <v>AGUMhsGGAqAAyxB8</v>
          </cell>
        </row>
        <row r="45">
          <cell r="A45" t="str">
            <v>42</v>
          </cell>
          <cell r="B45" t="str">
            <v>AGUMhsGGAqAAyxCA</v>
          </cell>
        </row>
        <row r="46">
          <cell r="A46" t="str">
            <v>43</v>
          </cell>
          <cell r="B46" t="str">
            <v>riioQSGGAqAAyxMN</v>
          </cell>
        </row>
        <row r="47">
          <cell r="A47" t="str">
            <v>44</v>
          </cell>
          <cell r="B47" t="str">
            <v>AGUMhsGGAqAAyxCC</v>
          </cell>
        </row>
        <row r="48">
          <cell r="A48" t="str">
            <v>45</v>
          </cell>
          <cell r="B48" t="str">
            <v>zDTcZsGGAqAAywZg</v>
          </cell>
        </row>
        <row r="49">
          <cell r="A49" t="str">
            <v>46</v>
          </cell>
          <cell r="B49" t="str">
            <v>zPL8ZsGGAqAAywjk</v>
          </cell>
        </row>
        <row r="50">
          <cell r="A50" t="str">
            <v>47</v>
          </cell>
          <cell r="B50" t="str">
            <v>7PL8ZsGGAqAAywjm</v>
          </cell>
        </row>
        <row r="51">
          <cell r="A51" t="str">
            <v>48</v>
          </cell>
          <cell r="B51" t="str">
            <v>_c4CZsGGAqAAywjs</v>
          </cell>
        </row>
        <row r="52">
          <cell r="A52" t="str">
            <v>49</v>
          </cell>
          <cell r="B52" t="str">
            <v>A84CZsGGAqAAywju</v>
          </cell>
        </row>
        <row r="53">
          <cell r="A53" t="str">
            <v>50</v>
          </cell>
          <cell r="B53" t="str">
            <v>gGUMhsGGAqAAyxCG</v>
          </cell>
        </row>
        <row r="54">
          <cell r="A54" t="str">
            <v>51</v>
          </cell>
          <cell r="B54" t="str">
            <v>W52WhsGGAqAAyxTA</v>
          </cell>
        </row>
        <row r="55">
          <cell r="A55" t="str">
            <v>52</v>
          </cell>
          <cell r="B55" t="str">
            <v>W52WhsGGAqAAyxTC</v>
          </cell>
        </row>
        <row r="56">
          <cell r="A56" t="str">
            <v>53</v>
          </cell>
          <cell r="B56" t="str">
            <v>_IU2hsGGAqAAyxTI</v>
          </cell>
        </row>
        <row r="57">
          <cell r="A57" t="str">
            <v>54</v>
          </cell>
          <cell r="B57" t="str">
            <v>k3SMhsGGAqAAyxMP</v>
          </cell>
        </row>
        <row r="58">
          <cell r="A58" t="str">
            <v>55</v>
          </cell>
          <cell r="B58" t="str">
            <v>MGUMhsGGAqAAyxDf</v>
          </cell>
        </row>
        <row r="59">
          <cell r="A59" t="str">
            <v>56</v>
          </cell>
          <cell r="B59" t="str">
            <v>xIsMhsGGAqAAyxEc</v>
          </cell>
        </row>
        <row r="60">
          <cell r="A60" t="str">
            <v>57</v>
          </cell>
          <cell r="B60" t="str">
            <v>qQKMhsGGAqAAyxOO</v>
          </cell>
        </row>
        <row r="61">
          <cell r="A61" t="str">
            <v>58</v>
          </cell>
          <cell r="B61" t="str">
            <v>sGUMhsGGAqAAyxDm</v>
          </cell>
        </row>
        <row r="62">
          <cell r="A62" t="str">
            <v>59</v>
          </cell>
          <cell r="B62" t="str">
            <v>4QqMhsGGAqAAyxOX</v>
          </cell>
        </row>
        <row r="63">
          <cell r="A63" t="str">
            <v>60</v>
          </cell>
          <cell r="B63" t="str">
            <v>8GUMhsGGAqAAyxD0</v>
          </cell>
        </row>
        <row r="64">
          <cell r="A64" t="str">
            <v>61</v>
          </cell>
          <cell r="B64" t="str">
            <v>EQqMhsGGAqAAyxOZ</v>
          </cell>
        </row>
        <row r="65">
          <cell r="A65" t="str">
            <v>62</v>
          </cell>
          <cell r="B65" t="str">
            <v>SGUMhsGGAqAAyxEG</v>
          </cell>
        </row>
        <row r="66">
          <cell r="A66" t="str">
            <v>63</v>
          </cell>
          <cell r="B66" t="str">
            <v>UUaMhsGGAqAAyxOn</v>
          </cell>
        </row>
        <row r="67">
          <cell r="A67" t="str">
            <v>64</v>
          </cell>
          <cell r="B67" t="str">
            <v>cGUMhsGGAqAAyxDt</v>
          </cell>
        </row>
        <row r="68">
          <cell r="A68" t="str">
            <v>65</v>
          </cell>
          <cell r="B68" t="str">
            <v>UUaMhsGGAqAAyxOp</v>
          </cell>
        </row>
        <row r="69">
          <cell r="A69" t="str">
            <v>66</v>
          </cell>
          <cell r="B69" t="str">
            <v>yGUMhsGGAqAAyxEN</v>
          </cell>
        </row>
        <row r="70">
          <cell r="A70" t="str">
            <v>67</v>
          </cell>
          <cell r="B70" t="str">
            <v>tyv.hsGGAqAAyxUI</v>
          </cell>
        </row>
        <row r="71">
          <cell r="A71" t="str">
            <v>68</v>
          </cell>
          <cell r="B71" t="str">
            <v>Jyv.hsGGAqAAyxUD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5"/>
  <sheetViews>
    <sheetView tabSelected="1" workbookViewId="0">
      <selection activeCell="B2" sqref="B2"/>
    </sheetView>
  </sheetViews>
  <sheetFormatPr defaultRowHeight="14.5" x14ac:dyDescent="0.35"/>
  <cols>
    <col min="1" max="1" width="13.6328125" bestFit="1" customWidth="1"/>
    <col min="6" max="6" width="29" bestFit="1" customWidth="1"/>
    <col min="7" max="7" width="9.81640625" bestFit="1" customWidth="1"/>
    <col min="8" max="8" width="9.81640625" customWidth="1"/>
    <col min="9" max="9" width="37.6328125" bestFit="1" customWidth="1"/>
    <col min="10" max="10" width="37.6328125" customWidth="1"/>
    <col min="11" max="11" width="11.26953125" bestFit="1" customWidth="1"/>
    <col min="12" max="12" width="10.6328125" bestFit="1" customWidth="1"/>
    <col min="13" max="13" width="10.36328125" bestFit="1" customWidth="1"/>
  </cols>
  <sheetData>
    <row r="1" spans="1:15" x14ac:dyDescent="0.35">
      <c r="A1" s="1" t="s">
        <v>7</v>
      </c>
      <c r="B1" s="1">
        <v>7</v>
      </c>
      <c r="D1" t="s">
        <v>5</v>
      </c>
      <c r="E1" t="s">
        <v>6</v>
      </c>
      <c r="G1" t="s">
        <v>0</v>
      </c>
      <c r="H1" t="s">
        <v>12</v>
      </c>
      <c r="J1" t="s">
        <v>18</v>
      </c>
      <c r="K1" t="s">
        <v>19</v>
      </c>
      <c r="L1" t="s">
        <v>8</v>
      </c>
      <c r="M1" t="s">
        <v>9</v>
      </c>
      <c r="N1" t="s">
        <v>1</v>
      </c>
      <c r="O1" t="s">
        <v>3</v>
      </c>
    </row>
    <row r="2" spans="1:15" x14ac:dyDescent="0.35">
      <c r="D2">
        <v>1</v>
      </c>
      <c r="E2" t="s">
        <v>21</v>
      </c>
      <c r="F2" t="s">
        <v>22</v>
      </c>
      <c r="G2" t="s">
        <v>12</v>
      </c>
      <c r="H2" t="s">
        <v>17</v>
      </c>
      <c r="J2" s="2" t="s">
        <v>65</v>
      </c>
      <c r="K2" t="str">
        <f>INDEX('[1]System Data'!$A:$A,MATCH(J2,'[1]System Data'!$B:$B,0))</f>
        <v>37</v>
      </c>
      <c r="L2" t="s">
        <v>2</v>
      </c>
      <c r="N2" t="str">
        <f t="shared" ref="N2:N30" si="0">IF(D2&lt;=$B$1, L2, $B$3)</f>
        <v>No</v>
      </c>
      <c r="O2" t="str">
        <f t="shared" ref="O2:O57" si="1">IF(ISBLANK(M2), "", IF(D2&lt;=$B$1, M2, $B$4))</f>
        <v/>
      </c>
    </row>
    <row r="3" spans="1:15" x14ac:dyDescent="0.35">
      <c r="A3" s="1" t="s">
        <v>10</v>
      </c>
      <c r="B3" s="1" t="s">
        <v>4</v>
      </c>
      <c r="D3">
        <f>$D$2</f>
        <v>1</v>
      </c>
      <c r="E3" t="s">
        <v>21</v>
      </c>
      <c r="F3" t="s">
        <v>22</v>
      </c>
      <c r="G3" t="s">
        <v>13</v>
      </c>
      <c r="H3" t="s">
        <v>17</v>
      </c>
      <c r="I3" t="s">
        <v>22</v>
      </c>
      <c r="J3" s="2" t="s">
        <v>70</v>
      </c>
      <c r="K3" t="str">
        <f>INDEX('[1]System Data'!$A:$A,MATCH(J3,'[1]System Data'!$B:$B,0))</f>
        <v>40</v>
      </c>
      <c r="L3" t="s">
        <v>2</v>
      </c>
      <c r="N3" t="str">
        <f t="shared" si="0"/>
        <v>No</v>
      </c>
      <c r="O3" t="str">
        <f t="shared" si="1"/>
        <v/>
      </c>
    </row>
    <row r="4" spans="1:15" x14ac:dyDescent="0.35">
      <c r="A4" s="1" t="s">
        <v>11</v>
      </c>
      <c r="B4" s="1" t="s">
        <v>2</v>
      </c>
      <c r="D4">
        <f t="shared" ref="D4:D24" si="2">$D$2</f>
        <v>1</v>
      </c>
      <c r="E4" t="s">
        <v>21</v>
      </c>
      <c r="F4" t="s">
        <v>22</v>
      </c>
      <c r="G4" t="s">
        <v>16</v>
      </c>
      <c r="H4" t="s">
        <v>17</v>
      </c>
      <c r="I4" t="s">
        <v>23</v>
      </c>
      <c r="J4" s="2" t="s">
        <v>71</v>
      </c>
      <c r="K4" t="str">
        <f>INDEX('[1]System Data'!$A:$A,MATCH(J4,'[1]System Data'!$B:$B,0))</f>
        <v>41</v>
      </c>
      <c r="L4" t="s">
        <v>2</v>
      </c>
      <c r="N4" t="str">
        <f t="shared" si="0"/>
        <v>No</v>
      </c>
      <c r="O4" t="str">
        <f t="shared" si="1"/>
        <v/>
      </c>
    </row>
    <row r="5" spans="1:15" x14ac:dyDescent="0.35">
      <c r="D5">
        <f t="shared" si="2"/>
        <v>1</v>
      </c>
      <c r="E5" t="s">
        <v>21</v>
      </c>
      <c r="F5" t="s">
        <v>22</v>
      </c>
      <c r="G5" t="s">
        <v>16</v>
      </c>
      <c r="H5" t="s">
        <v>17</v>
      </c>
      <c r="I5" t="s">
        <v>26</v>
      </c>
      <c r="J5" s="2" t="s">
        <v>72</v>
      </c>
      <c r="K5" t="str">
        <f>INDEX('[1]System Data'!$A:$A,MATCH(J5,'[1]System Data'!$B:$B,0))</f>
        <v>42</v>
      </c>
      <c r="L5" t="s">
        <v>2</v>
      </c>
      <c r="N5" t="str">
        <f t="shared" si="0"/>
        <v>No</v>
      </c>
      <c r="O5" t="str">
        <f t="shared" si="1"/>
        <v/>
      </c>
    </row>
    <row r="6" spans="1:15" x14ac:dyDescent="0.35">
      <c r="D6">
        <f t="shared" si="2"/>
        <v>1</v>
      </c>
      <c r="E6" t="s">
        <v>21</v>
      </c>
      <c r="F6" t="s">
        <v>22</v>
      </c>
      <c r="G6" t="s">
        <v>16</v>
      </c>
      <c r="H6" t="s">
        <v>17</v>
      </c>
      <c r="I6" t="s">
        <v>24</v>
      </c>
      <c r="J6" s="2" t="s">
        <v>73</v>
      </c>
      <c r="K6" t="str">
        <f>INDEX('[1]System Data'!$A:$A,MATCH(J6,'[1]System Data'!$B:$B,0))</f>
        <v>43</v>
      </c>
      <c r="L6" t="s">
        <v>2</v>
      </c>
      <c r="N6" t="str">
        <f t="shared" ref="N6" si="3">IF(D6&lt;=$B$1, L6, $B$3)</f>
        <v>No</v>
      </c>
      <c r="O6" t="str">
        <f t="shared" si="1"/>
        <v/>
      </c>
    </row>
    <row r="7" spans="1:15" x14ac:dyDescent="0.35">
      <c r="D7">
        <f t="shared" si="2"/>
        <v>1</v>
      </c>
      <c r="E7" t="s">
        <v>21</v>
      </c>
      <c r="F7" t="s">
        <v>22</v>
      </c>
      <c r="G7" t="s">
        <v>16</v>
      </c>
      <c r="H7" t="s">
        <v>17</v>
      </c>
      <c r="I7" t="s">
        <v>25</v>
      </c>
      <c r="J7" s="2" t="s">
        <v>74</v>
      </c>
      <c r="K7" t="str">
        <f>INDEX('[1]System Data'!$A:$A,MATCH(J7,'[1]System Data'!$B:$B,0))</f>
        <v>44</v>
      </c>
      <c r="L7" t="s">
        <v>2</v>
      </c>
      <c r="N7" t="str">
        <f t="shared" si="0"/>
        <v>No</v>
      </c>
      <c r="O7" t="str">
        <f t="shared" si="1"/>
        <v/>
      </c>
    </row>
    <row r="8" spans="1:15" x14ac:dyDescent="0.35">
      <c r="D8">
        <f t="shared" si="2"/>
        <v>1</v>
      </c>
      <c r="E8" t="s">
        <v>21</v>
      </c>
      <c r="F8" t="s">
        <v>22</v>
      </c>
      <c r="G8" t="s">
        <v>12</v>
      </c>
      <c r="H8" t="s">
        <v>27</v>
      </c>
      <c r="J8" s="2" t="s">
        <v>69</v>
      </c>
      <c r="K8" t="str">
        <f>INDEX('[1]System Data'!$A:$A,MATCH(J8,'[1]System Data'!$B:$B,0))</f>
        <v>3</v>
      </c>
      <c r="L8" t="s">
        <v>2</v>
      </c>
      <c r="N8" t="str">
        <f t="shared" si="0"/>
        <v>No</v>
      </c>
      <c r="O8" t="str">
        <f t="shared" si="1"/>
        <v/>
      </c>
    </row>
    <row r="9" spans="1:15" x14ac:dyDescent="0.35">
      <c r="D9">
        <f t="shared" si="2"/>
        <v>1</v>
      </c>
      <c r="E9" t="s">
        <v>21</v>
      </c>
      <c r="F9" t="s">
        <v>22</v>
      </c>
      <c r="G9" t="s">
        <v>14</v>
      </c>
      <c r="H9" t="s">
        <v>27</v>
      </c>
      <c r="I9" t="s">
        <v>28</v>
      </c>
      <c r="J9" s="2" t="s">
        <v>91</v>
      </c>
      <c r="K9" t="str">
        <f>INDEX('[1]System Data'!$A:$A,MATCH(J9,'[1]System Data'!$B:$B,0))</f>
        <v>5</v>
      </c>
      <c r="L9" t="s">
        <v>2</v>
      </c>
      <c r="M9" t="s">
        <v>4</v>
      </c>
      <c r="N9" t="str">
        <f t="shared" si="0"/>
        <v>No</v>
      </c>
      <c r="O9" t="str">
        <f t="shared" si="1"/>
        <v>Yes</v>
      </c>
    </row>
    <row r="10" spans="1:15" x14ac:dyDescent="0.35">
      <c r="D10">
        <f t="shared" si="2"/>
        <v>1</v>
      </c>
      <c r="E10" t="s">
        <v>21</v>
      </c>
      <c r="F10" t="s">
        <v>22</v>
      </c>
      <c r="G10" t="s">
        <v>14</v>
      </c>
      <c r="H10" t="s">
        <v>27</v>
      </c>
      <c r="I10" t="s">
        <v>30</v>
      </c>
      <c r="J10" s="2" t="s">
        <v>92</v>
      </c>
      <c r="K10" t="str">
        <f>INDEX('[1]System Data'!$A:$A,MATCH(J10,'[1]System Data'!$B:$B,0))</f>
        <v>6</v>
      </c>
      <c r="L10" t="s">
        <v>2</v>
      </c>
      <c r="M10" t="s">
        <v>2</v>
      </c>
      <c r="N10" t="str">
        <f t="shared" si="0"/>
        <v>No</v>
      </c>
      <c r="O10" t="str">
        <f t="shared" si="1"/>
        <v>No</v>
      </c>
    </row>
    <row r="11" spans="1:15" x14ac:dyDescent="0.35">
      <c r="D11">
        <f t="shared" si="2"/>
        <v>1</v>
      </c>
      <c r="E11" t="s">
        <v>21</v>
      </c>
      <c r="F11" t="s">
        <v>22</v>
      </c>
      <c r="G11" t="s">
        <v>14</v>
      </c>
      <c r="H11" t="s">
        <v>27</v>
      </c>
      <c r="I11" t="s">
        <v>29</v>
      </c>
      <c r="J11" s="2" t="s">
        <v>93</v>
      </c>
      <c r="K11" t="str">
        <f>INDEX('[1]System Data'!$A:$A,MATCH(J11,'[1]System Data'!$B:$B,0))</f>
        <v>7</v>
      </c>
      <c r="L11" t="s">
        <v>2</v>
      </c>
      <c r="M11" t="s">
        <v>2</v>
      </c>
      <c r="N11" t="str">
        <f t="shared" si="0"/>
        <v>No</v>
      </c>
      <c r="O11" t="str">
        <f t="shared" si="1"/>
        <v>No</v>
      </c>
    </row>
    <row r="12" spans="1:15" x14ac:dyDescent="0.35">
      <c r="D12">
        <f t="shared" si="2"/>
        <v>1</v>
      </c>
      <c r="E12" t="s">
        <v>21</v>
      </c>
      <c r="F12" t="s">
        <v>22</v>
      </c>
      <c r="G12" t="s">
        <v>14</v>
      </c>
      <c r="H12" t="s">
        <v>27</v>
      </c>
      <c r="I12" t="s">
        <v>31</v>
      </c>
      <c r="J12" s="2" t="s">
        <v>94</v>
      </c>
      <c r="K12" t="str">
        <f>INDEX('[1]System Data'!$A:$A,MATCH(J12,'[1]System Data'!$B:$B,0))</f>
        <v>8</v>
      </c>
      <c r="L12" t="s">
        <v>2</v>
      </c>
      <c r="M12" t="s">
        <v>2</v>
      </c>
      <c r="N12" t="str">
        <f t="shared" si="0"/>
        <v>No</v>
      </c>
      <c r="O12" t="str">
        <f t="shared" si="1"/>
        <v>No</v>
      </c>
    </row>
    <row r="13" spans="1:15" x14ac:dyDescent="0.35">
      <c r="D13">
        <f t="shared" si="2"/>
        <v>1</v>
      </c>
      <c r="E13" t="s">
        <v>21</v>
      </c>
      <c r="F13" t="s">
        <v>22</v>
      </c>
      <c r="G13" t="s">
        <v>13</v>
      </c>
      <c r="H13" t="s">
        <v>27</v>
      </c>
      <c r="I13" t="s">
        <v>20</v>
      </c>
      <c r="J13" s="2" t="s">
        <v>95</v>
      </c>
      <c r="K13" t="str">
        <f>INDEX('[1]System Data'!$A:$A,MATCH(J13,'[1]System Data'!$B:$B,0))</f>
        <v>9</v>
      </c>
      <c r="L13" t="s">
        <v>2</v>
      </c>
      <c r="N13" t="str">
        <f t="shared" si="0"/>
        <v>No</v>
      </c>
      <c r="O13" t="str">
        <f t="shared" si="1"/>
        <v/>
      </c>
    </row>
    <row r="14" spans="1:15" x14ac:dyDescent="0.35">
      <c r="D14">
        <f t="shared" si="2"/>
        <v>1</v>
      </c>
      <c r="E14" t="s">
        <v>21</v>
      </c>
      <c r="F14" t="s">
        <v>22</v>
      </c>
      <c r="G14" t="s">
        <v>16</v>
      </c>
      <c r="H14" t="s">
        <v>27</v>
      </c>
      <c r="I14" t="s">
        <v>23</v>
      </c>
      <c r="J14" s="2" t="s">
        <v>96</v>
      </c>
      <c r="K14" t="str">
        <f>INDEX('[1]System Data'!$A:$A,MATCH(J14,'[1]System Data'!$B:$B,0))</f>
        <v>10</v>
      </c>
      <c r="L14" t="s">
        <v>2</v>
      </c>
      <c r="N14" t="str">
        <f t="shared" si="0"/>
        <v>No</v>
      </c>
      <c r="O14" t="str">
        <f t="shared" si="1"/>
        <v/>
      </c>
    </row>
    <row r="15" spans="1:15" x14ac:dyDescent="0.35">
      <c r="D15">
        <f t="shared" si="2"/>
        <v>1</v>
      </c>
      <c r="E15" t="s">
        <v>21</v>
      </c>
      <c r="F15" t="s">
        <v>22</v>
      </c>
      <c r="G15" t="s">
        <v>16</v>
      </c>
      <c r="H15" t="s">
        <v>27</v>
      </c>
      <c r="I15" t="s">
        <v>24</v>
      </c>
      <c r="J15" s="2" t="s">
        <v>97</v>
      </c>
      <c r="K15" t="str">
        <f>INDEX('[1]System Data'!$A:$A,MATCH(J15,'[1]System Data'!$B:$B,0))</f>
        <v>11</v>
      </c>
      <c r="L15" t="s">
        <v>2</v>
      </c>
      <c r="N15" t="str">
        <f t="shared" si="0"/>
        <v>No</v>
      </c>
      <c r="O15" t="str">
        <f t="shared" si="1"/>
        <v/>
      </c>
    </row>
    <row r="16" spans="1:15" x14ac:dyDescent="0.35">
      <c r="D16">
        <f t="shared" si="2"/>
        <v>1</v>
      </c>
      <c r="E16" t="s">
        <v>21</v>
      </c>
      <c r="F16" t="s">
        <v>22</v>
      </c>
      <c r="G16" t="s">
        <v>16</v>
      </c>
      <c r="H16" t="s">
        <v>27</v>
      </c>
      <c r="I16" t="s">
        <v>26</v>
      </c>
      <c r="J16" s="2" t="s">
        <v>98</v>
      </c>
      <c r="K16" t="str">
        <f>INDEX('[1]System Data'!$A:$A,MATCH(J16,'[1]System Data'!$B:$B,0))</f>
        <v>12</v>
      </c>
      <c r="L16" t="s">
        <v>2</v>
      </c>
      <c r="N16" t="str">
        <f t="shared" si="0"/>
        <v>No</v>
      </c>
      <c r="O16" t="str">
        <f t="shared" si="1"/>
        <v/>
      </c>
    </row>
    <row r="17" spans="4:15" x14ac:dyDescent="0.35">
      <c r="D17">
        <f t="shared" si="2"/>
        <v>1</v>
      </c>
      <c r="E17" t="s">
        <v>21</v>
      </c>
      <c r="F17" t="s">
        <v>22</v>
      </c>
      <c r="G17" t="s">
        <v>16</v>
      </c>
      <c r="H17" t="s">
        <v>27</v>
      </c>
      <c r="I17" t="s">
        <v>25</v>
      </c>
      <c r="J17" s="2" t="s">
        <v>99</v>
      </c>
      <c r="K17" t="str">
        <f>INDEX('[1]System Data'!$A:$A,MATCH(J17,'[1]System Data'!$B:$B,0))</f>
        <v>13</v>
      </c>
      <c r="L17" t="s">
        <v>2</v>
      </c>
      <c r="N17" t="str">
        <f t="shared" si="0"/>
        <v>No</v>
      </c>
      <c r="O17" t="str">
        <f t="shared" si="1"/>
        <v/>
      </c>
    </row>
    <row r="18" spans="4:15" x14ac:dyDescent="0.35">
      <c r="D18">
        <f t="shared" si="2"/>
        <v>1</v>
      </c>
      <c r="E18" t="s">
        <v>21</v>
      </c>
      <c r="F18" t="s">
        <v>22</v>
      </c>
      <c r="G18" t="s">
        <v>12</v>
      </c>
      <c r="H18" t="s">
        <v>32</v>
      </c>
      <c r="J18" s="2" t="s">
        <v>66</v>
      </c>
      <c r="K18" t="str">
        <f>INDEX('[1]System Data'!$A:$A,MATCH(J18,'[1]System Data'!$B:$B,0))</f>
        <v>29</v>
      </c>
      <c r="L18" t="s">
        <v>2</v>
      </c>
      <c r="N18" t="str">
        <f t="shared" si="0"/>
        <v>No</v>
      </c>
      <c r="O18" t="str">
        <f t="shared" si="1"/>
        <v/>
      </c>
    </row>
    <row r="19" spans="4:15" x14ac:dyDescent="0.35">
      <c r="D19">
        <f t="shared" si="2"/>
        <v>1</v>
      </c>
      <c r="E19" t="s">
        <v>21</v>
      </c>
      <c r="F19" t="s">
        <v>22</v>
      </c>
      <c r="G19" t="s">
        <v>13</v>
      </c>
      <c r="H19" t="s">
        <v>32</v>
      </c>
      <c r="I19" t="s">
        <v>20</v>
      </c>
      <c r="J19" s="2" t="s">
        <v>85</v>
      </c>
      <c r="K19" t="str">
        <f>INDEX('[1]System Data'!$A:$A,MATCH(J19,'[1]System Data'!$B:$B,0))</f>
        <v>31</v>
      </c>
      <c r="L19" t="s">
        <v>2</v>
      </c>
      <c r="N19" t="str">
        <f t="shared" si="0"/>
        <v>No</v>
      </c>
      <c r="O19" t="str">
        <f t="shared" si="1"/>
        <v/>
      </c>
    </row>
    <row r="20" spans="4:15" x14ac:dyDescent="0.35">
      <c r="D20">
        <f t="shared" si="2"/>
        <v>1</v>
      </c>
      <c r="E20" t="s">
        <v>21</v>
      </c>
      <c r="F20" t="s">
        <v>22</v>
      </c>
      <c r="G20" t="s">
        <v>13</v>
      </c>
      <c r="H20" t="s">
        <v>17</v>
      </c>
      <c r="I20" t="s">
        <v>20</v>
      </c>
      <c r="J20" s="2" t="s">
        <v>75</v>
      </c>
      <c r="K20" t="str">
        <f>INDEX('[1]System Data'!$A:$A,MATCH(J20,'[1]System Data'!$B:$B,0))</f>
        <v>39</v>
      </c>
      <c r="L20" t="s">
        <v>2</v>
      </c>
      <c r="N20" t="str">
        <f t="shared" si="0"/>
        <v>No</v>
      </c>
      <c r="O20" t="str">
        <f t="shared" si="1"/>
        <v/>
      </c>
    </row>
    <row r="21" spans="4:15" x14ac:dyDescent="0.35">
      <c r="D21">
        <f t="shared" si="2"/>
        <v>1</v>
      </c>
      <c r="E21" t="s">
        <v>21</v>
      </c>
      <c r="F21" t="s">
        <v>22</v>
      </c>
      <c r="G21" t="s">
        <v>15</v>
      </c>
      <c r="H21" t="s">
        <v>15</v>
      </c>
      <c r="I21" t="s">
        <v>33</v>
      </c>
      <c r="J21" s="2" t="s">
        <v>100</v>
      </c>
      <c r="K21" t="str">
        <f>INDEX('[1]System Data'!$A:$A,MATCH(J21,'[1]System Data'!$B:$B,0))</f>
        <v>54</v>
      </c>
      <c r="L21" t="s">
        <v>2</v>
      </c>
      <c r="N21" t="str">
        <f t="shared" si="0"/>
        <v>No</v>
      </c>
      <c r="O21" t="str">
        <f t="shared" si="1"/>
        <v/>
      </c>
    </row>
    <row r="22" spans="4:15" x14ac:dyDescent="0.35">
      <c r="D22">
        <f t="shared" si="2"/>
        <v>1</v>
      </c>
      <c r="E22" t="s">
        <v>21</v>
      </c>
      <c r="F22" t="s">
        <v>22</v>
      </c>
      <c r="G22" t="s">
        <v>15</v>
      </c>
      <c r="H22" t="s">
        <v>15</v>
      </c>
      <c r="I22" t="s">
        <v>34</v>
      </c>
      <c r="J22" s="2" t="s">
        <v>101</v>
      </c>
      <c r="K22" t="str">
        <f>INDEX('[1]System Data'!$A:$A,MATCH(J22,'[1]System Data'!$B:$B,0))</f>
        <v>65</v>
      </c>
      <c r="L22" t="s">
        <v>2</v>
      </c>
      <c r="N22" t="str">
        <f t="shared" si="0"/>
        <v>No</v>
      </c>
      <c r="O22" t="str">
        <f t="shared" si="1"/>
        <v/>
      </c>
    </row>
    <row r="23" spans="4:15" x14ac:dyDescent="0.35">
      <c r="D23">
        <f t="shared" si="2"/>
        <v>1</v>
      </c>
      <c r="E23" t="s">
        <v>21</v>
      </c>
      <c r="F23" t="s">
        <v>22</v>
      </c>
      <c r="G23" t="s">
        <v>13</v>
      </c>
      <c r="H23" t="s">
        <v>32</v>
      </c>
      <c r="I23" t="s">
        <v>35</v>
      </c>
      <c r="J23" s="2" t="s">
        <v>86</v>
      </c>
      <c r="K23" t="str">
        <f>INDEX('[1]System Data'!$A:$A,MATCH(J23,'[1]System Data'!$B:$B,0))</f>
        <v>32</v>
      </c>
      <c r="L23" t="s">
        <v>2</v>
      </c>
      <c r="N23" t="str">
        <f t="shared" si="0"/>
        <v>No</v>
      </c>
      <c r="O23" t="str">
        <f t="shared" si="1"/>
        <v/>
      </c>
    </row>
    <row r="24" spans="4:15" x14ac:dyDescent="0.35">
      <c r="D24">
        <f t="shared" si="2"/>
        <v>1</v>
      </c>
      <c r="E24" t="s">
        <v>21</v>
      </c>
      <c r="F24" t="s">
        <v>22</v>
      </c>
      <c r="G24" t="s">
        <v>16</v>
      </c>
      <c r="H24" t="s">
        <v>32</v>
      </c>
      <c r="I24" t="s">
        <v>51</v>
      </c>
      <c r="J24" s="2" t="s">
        <v>87</v>
      </c>
      <c r="K24" t="str">
        <f>INDEX('[1]System Data'!$A:$A,MATCH(J24,'[1]System Data'!$B:$B,0))</f>
        <v>33</v>
      </c>
      <c r="L24" t="s">
        <v>2</v>
      </c>
      <c r="N24" t="str">
        <f t="shared" ref="N24" si="4">IF(D24&lt;=$B$1, L24, $B$3)</f>
        <v>No</v>
      </c>
      <c r="O24" t="str">
        <f t="shared" si="1"/>
        <v/>
      </c>
    </row>
    <row r="25" spans="4:15" x14ac:dyDescent="0.35">
      <c r="D25">
        <f>D23+1</f>
        <v>2</v>
      </c>
      <c r="E25" t="s">
        <v>36</v>
      </c>
      <c r="F25" t="s">
        <v>37</v>
      </c>
      <c r="G25" t="s">
        <v>13</v>
      </c>
      <c r="H25" t="s">
        <v>17</v>
      </c>
      <c r="I25" t="s">
        <v>37</v>
      </c>
      <c r="J25" s="2" t="s">
        <v>76</v>
      </c>
      <c r="K25" t="str">
        <f>INDEX('[1]System Data'!$A:$A,MATCH(J25,'[1]System Data'!$B:$B,0))</f>
        <v>45</v>
      </c>
      <c r="L25" t="s">
        <v>2</v>
      </c>
      <c r="N25" t="str">
        <f t="shared" si="0"/>
        <v>No</v>
      </c>
      <c r="O25" t="str">
        <f t="shared" si="1"/>
        <v/>
      </c>
    </row>
    <row r="26" spans="4:15" x14ac:dyDescent="0.35">
      <c r="D26">
        <f>$D$25</f>
        <v>2</v>
      </c>
      <c r="E26" t="s">
        <v>36</v>
      </c>
      <c r="F26" t="s">
        <v>37</v>
      </c>
      <c r="G26" t="s">
        <v>13</v>
      </c>
      <c r="H26" t="s">
        <v>32</v>
      </c>
      <c r="I26" t="s">
        <v>39</v>
      </c>
      <c r="J26" s="2" t="s">
        <v>88</v>
      </c>
      <c r="K26" t="str">
        <f>INDEX('[1]System Data'!$A:$A,MATCH(J26,'[1]System Data'!$B:$B,0))</f>
        <v>34</v>
      </c>
      <c r="L26" t="s">
        <v>2</v>
      </c>
      <c r="N26" t="str">
        <f t="shared" si="0"/>
        <v>No</v>
      </c>
      <c r="O26" t="str">
        <f t="shared" si="1"/>
        <v/>
      </c>
    </row>
    <row r="27" spans="4:15" x14ac:dyDescent="0.35">
      <c r="D27">
        <f>$D$25</f>
        <v>2</v>
      </c>
      <c r="E27" t="s">
        <v>36</v>
      </c>
      <c r="F27" t="s">
        <v>37</v>
      </c>
      <c r="G27" t="s">
        <v>14</v>
      </c>
      <c r="H27" t="s">
        <v>27</v>
      </c>
      <c r="I27" t="s">
        <v>41</v>
      </c>
      <c r="J27" s="2" t="s">
        <v>92</v>
      </c>
      <c r="K27" t="str">
        <f>INDEX('[1]System Data'!$A:$A,MATCH(J27,'[1]System Data'!$B:$B,0))</f>
        <v>6</v>
      </c>
      <c r="L27" t="s">
        <v>2</v>
      </c>
      <c r="M27" t="s">
        <v>4</v>
      </c>
      <c r="N27" t="str">
        <f t="shared" si="0"/>
        <v>No</v>
      </c>
      <c r="O27" t="str">
        <f t="shared" si="1"/>
        <v>Yes</v>
      </c>
    </row>
    <row r="28" spans="4:15" x14ac:dyDescent="0.35">
      <c r="D28">
        <f>$D$25</f>
        <v>2</v>
      </c>
      <c r="E28" t="s">
        <v>36</v>
      </c>
      <c r="F28" t="s">
        <v>37</v>
      </c>
      <c r="G28" t="s">
        <v>14</v>
      </c>
      <c r="H28" t="s">
        <v>27</v>
      </c>
      <c r="I28" t="s">
        <v>40</v>
      </c>
      <c r="J28" s="2" t="s">
        <v>93</v>
      </c>
      <c r="K28" t="str">
        <f>INDEX('[1]System Data'!$A:$A,MATCH(J28,'[1]System Data'!$B:$B,0))</f>
        <v>7</v>
      </c>
      <c r="L28" t="s">
        <v>2</v>
      </c>
      <c r="M28" t="s">
        <v>4</v>
      </c>
      <c r="N28" t="str">
        <f t="shared" si="0"/>
        <v>No</v>
      </c>
      <c r="O28" t="str">
        <f t="shared" si="1"/>
        <v>Yes</v>
      </c>
    </row>
    <row r="29" spans="4:15" x14ac:dyDescent="0.35">
      <c r="D29">
        <f>$D$25</f>
        <v>2</v>
      </c>
      <c r="E29" t="s">
        <v>36</v>
      </c>
      <c r="F29" t="s">
        <v>37</v>
      </c>
      <c r="G29" t="s">
        <v>14</v>
      </c>
      <c r="H29" t="s">
        <v>27</v>
      </c>
      <c r="I29" t="s">
        <v>42</v>
      </c>
      <c r="J29" s="2" t="s">
        <v>94</v>
      </c>
      <c r="K29" t="str">
        <f>INDEX('[1]System Data'!$A:$A,MATCH(J29,'[1]System Data'!$B:$B,0))</f>
        <v>8</v>
      </c>
      <c r="L29" t="s">
        <v>2</v>
      </c>
      <c r="M29" t="s">
        <v>4</v>
      </c>
      <c r="N29" t="str">
        <f t="shared" si="0"/>
        <v>No</v>
      </c>
      <c r="O29" t="str">
        <f t="shared" si="1"/>
        <v>Yes</v>
      </c>
    </row>
    <row r="30" spans="4:15" x14ac:dyDescent="0.35">
      <c r="D30">
        <f>D29+1</f>
        <v>3</v>
      </c>
      <c r="E30" t="s">
        <v>38</v>
      </c>
      <c r="F30" t="s">
        <v>43</v>
      </c>
      <c r="G30" t="s">
        <v>13</v>
      </c>
      <c r="H30" t="s">
        <v>17</v>
      </c>
      <c r="I30" t="s">
        <v>43</v>
      </c>
      <c r="J30" s="2" t="s">
        <v>77</v>
      </c>
      <c r="K30" t="str">
        <f>INDEX('[1]System Data'!$A:$A,MATCH(J30,'[1]System Data'!$B:$B,0))</f>
        <v>46</v>
      </c>
      <c r="L30" t="s">
        <v>2</v>
      </c>
      <c r="N30" t="str">
        <f t="shared" si="0"/>
        <v>No</v>
      </c>
      <c r="O30" t="str">
        <f t="shared" si="1"/>
        <v/>
      </c>
    </row>
    <row r="31" spans="4:15" x14ac:dyDescent="0.35">
      <c r="D31">
        <f>$D$30</f>
        <v>3</v>
      </c>
      <c r="E31" t="s">
        <v>38</v>
      </c>
      <c r="F31" t="s">
        <v>43</v>
      </c>
      <c r="G31" t="s">
        <v>16</v>
      </c>
      <c r="H31" t="s">
        <v>17</v>
      </c>
      <c r="I31" t="s">
        <v>60</v>
      </c>
      <c r="J31" s="2" t="s">
        <v>78</v>
      </c>
      <c r="K31" t="str">
        <f>INDEX('[1]System Data'!$A:$A,MATCH(J31,'[1]System Data'!$B:$B,0))</f>
        <v>47</v>
      </c>
      <c r="L31" t="s">
        <v>2</v>
      </c>
      <c r="N31" t="str">
        <f t="shared" ref="N31:N57" si="5">IF(D31&lt;=$B$1, L31, $B$3)</f>
        <v>No</v>
      </c>
      <c r="O31" t="str">
        <f t="shared" si="1"/>
        <v/>
      </c>
    </row>
    <row r="32" spans="4:15" x14ac:dyDescent="0.35">
      <c r="D32">
        <f t="shared" ref="D32:D33" si="6">$D$30</f>
        <v>3</v>
      </c>
      <c r="E32" t="s">
        <v>38</v>
      </c>
      <c r="F32" t="s">
        <v>43</v>
      </c>
      <c r="G32" t="s">
        <v>13</v>
      </c>
      <c r="H32" t="s">
        <v>32</v>
      </c>
      <c r="I32" t="s">
        <v>44</v>
      </c>
      <c r="J32" s="2" t="s">
        <v>89</v>
      </c>
      <c r="K32" t="str">
        <f>INDEX('[1]System Data'!$A:$A,MATCH(J32,'[1]System Data'!$B:$B,0))</f>
        <v>35</v>
      </c>
      <c r="L32" t="s">
        <v>2</v>
      </c>
      <c r="N32" t="str">
        <f t="shared" si="5"/>
        <v>No</v>
      </c>
      <c r="O32" t="str">
        <f t="shared" si="1"/>
        <v/>
      </c>
    </row>
    <row r="33" spans="4:15" x14ac:dyDescent="0.35">
      <c r="D33">
        <f t="shared" si="6"/>
        <v>3</v>
      </c>
      <c r="E33" t="s">
        <v>38</v>
      </c>
      <c r="F33" t="s">
        <v>43</v>
      </c>
      <c r="G33" t="s">
        <v>16</v>
      </c>
      <c r="H33" t="s">
        <v>32</v>
      </c>
      <c r="I33" t="s">
        <v>60</v>
      </c>
      <c r="J33" s="2" t="s">
        <v>90</v>
      </c>
      <c r="K33" t="str">
        <f>INDEX('[1]System Data'!$A:$A,MATCH(J33,'[1]System Data'!$B:$B,0))</f>
        <v>36</v>
      </c>
      <c r="L33" t="s">
        <v>2</v>
      </c>
      <c r="N33" t="str">
        <f t="shared" si="5"/>
        <v>No</v>
      </c>
      <c r="O33" t="str">
        <f t="shared" si="1"/>
        <v/>
      </c>
    </row>
    <row r="34" spans="4:15" x14ac:dyDescent="0.35">
      <c r="D34">
        <f>$D$30</f>
        <v>3</v>
      </c>
      <c r="E34" t="s">
        <v>38</v>
      </c>
      <c r="F34" t="s">
        <v>43</v>
      </c>
      <c r="G34" t="s">
        <v>15</v>
      </c>
      <c r="H34" t="s">
        <v>15</v>
      </c>
      <c r="I34" t="s">
        <v>45</v>
      </c>
      <c r="J34" s="2" t="s">
        <v>105</v>
      </c>
      <c r="K34" t="str">
        <f>INDEX('[1]System Data'!$A:$A,MATCH(J34,'[1]System Data'!$B:$B,0))</f>
        <v>63</v>
      </c>
      <c r="L34" t="s">
        <v>2</v>
      </c>
      <c r="N34" t="str">
        <f t="shared" si="5"/>
        <v>No</v>
      </c>
      <c r="O34" t="str">
        <f t="shared" si="1"/>
        <v/>
      </c>
    </row>
    <row r="35" spans="4:15" x14ac:dyDescent="0.35">
      <c r="D35">
        <f>D34+1</f>
        <v>4</v>
      </c>
      <c r="E35" t="s">
        <v>46</v>
      </c>
      <c r="F35" t="s">
        <v>47</v>
      </c>
      <c r="G35" t="s">
        <v>13</v>
      </c>
      <c r="H35" t="s">
        <v>17</v>
      </c>
      <c r="I35" t="s">
        <v>47</v>
      </c>
      <c r="J35" s="2" t="s">
        <v>79</v>
      </c>
      <c r="K35" t="str">
        <f>INDEX('[1]System Data'!$A:$A,MATCH(J35,'[1]System Data'!$B:$B,0))</f>
        <v>48</v>
      </c>
      <c r="L35" t="s">
        <v>2</v>
      </c>
      <c r="N35" t="str">
        <f t="shared" si="5"/>
        <v>No</v>
      </c>
      <c r="O35" t="str">
        <f t="shared" si="1"/>
        <v/>
      </c>
    </row>
    <row r="36" spans="4:15" x14ac:dyDescent="0.35">
      <c r="D36">
        <f>$D$35</f>
        <v>4</v>
      </c>
      <c r="E36" t="s">
        <v>46</v>
      </c>
      <c r="F36" t="s">
        <v>47</v>
      </c>
      <c r="G36" t="s">
        <v>16</v>
      </c>
      <c r="H36" t="s">
        <v>17</v>
      </c>
      <c r="I36" t="s">
        <v>48</v>
      </c>
      <c r="J36" s="2" t="s">
        <v>80</v>
      </c>
      <c r="K36" t="str">
        <f>INDEX('[1]System Data'!$A:$A,MATCH(J36,'[1]System Data'!$B:$B,0))</f>
        <v>49</v>
      </c>
      <c r="L36" t="s">
        <v>2</v>
      </c>
      <c r="N36" t="str">
        <f t="shared" si="5"/>
        <v>No</v>
      </c>
      <c r="O36" t="str">
        <f t="shared" si="1"/>
        <v/>
      </c>
    </row>
    <row r="37" spans="4:15" x14ac:dyDescent="0.35">
      <c r="D37">
        <f t="shared" ref="D37:D48" si="7">$D$35</f>
        <v>4</v>
      </c>
      <c r="E37" t="s">
        <v>46</v>
      </c>
      <c r="F37" t="s">
        <v>47</v>
      </c>
      <c r="G37" t="s">
        <v>12</v>
      </c>
      <c r="H37" t="s">
        <v>49</v>
      </c>
      <c r="J37" s="2" t="s">
        <v>68</v>
      </c>
      <c r="K37" t="str">
        <f>INDEX('[1]System Data'!$A:$A,MATCH(J37,'[1]System Data'!$B:$B,0))</f>
        <v>14</v>
      </c>
      <c r="L37" t="s">
        <v>2</v>
      </c>
      <c r="N37" t="str">
        <f t="shared" si="5"/>
        <v>No</v>
      </c>
      <c r="O37" t="str">
        <f t="shared" si="1"/>
        <v/>
      </c>
    </row>
    <row r="38" spans="4:15" x14ac:dyDescent="0.35">
      <c r="D38">
        <f t="shared" si="7"/>
        <v>4</v>
      </c>
      <c r="E38" t="s">
        <v>46</v>
      </c>
      <c r="F38" t="s">
        <v>47</v>
      </c>
      <c r="G38" t="s">
        <v>14</v>
      </c>
      <c r="H38" t="s">
        <v>49</v>
      </c>
      <c r="I38" t="s">
        <v>108</v>
      </c>
      <c r="J38" s="2" t="s">
        <v>107</v>
      </c>
      <c r="K38" t="str">
        <f>INDEX('[1]System Data'!$A:$A,MATCH(J38,'[1]System Data'!$B:$B,0))</f>
        <v>16</v>
      </c>
      <c r="L38" t="s">
        <v>2</v>
      </c>
      <c r="M38" t="s">
        <v>4</v>
      </c>
      <c r="N38" t="str">
        <f t="shared" si="5"/>
        <v>No</v>
      </c>
      <c r="O38" t="str">
        <f t="shared" si="1"/>
        <v>Yes</v>
      </c>
    </row>
    <row r="39" spans="4:15" x14ac:dyDescent="0.35">
      <c r="D39">
        <f t="shared" si="7"/>
        <v>4</v>
      </c>
      <c r="E39" t="s">
        <v>46</v>
      </c>
      <c r="F39" t="s">
        <v>47</v>
      </c>
      <c r="G39" t="s">
        <v>15</v>
      </c>
      <c r="H39" t="s">
        <v>15</v>
      </c>
      <c r="I39" t="s">
        <v>50</v>
      </c>
      <c r="J39" s="2" t="s">
        <v>106</v>
      </c>
      <c r="K39" t="str">
        <f>INDEX('[1]System Data'!$A:$A,MATCH(J39,'[1]System Data'!$B:$B,0))</f>
        <v>67</v>
      </c>
      <c r="L39" t="s">
        <v>2</v>
      </c>
      <c r="N39" t="str">
        <f t="shared" si="5"/>
        <v>No</v>
      </c>
      <c r="O39" t="str">
        <f t="shared" si="1"/>
        <v/>
      </c>
    </row>
    <row r="40" spans="4:15" x14ac:dyDescent="0.35">
      <c r="D40">
        <f t="shared" si="7"/>
        <v>4</v>
      </c>
      <c r="E40" t="s">
        <v>46</v>
      </c>
      <c r="F40" t="s">
        <v>47</v>
      </c>
      <c r="G40" t="s">
        <v>13</v>
      </c>
      <c r="H40" t="s">
        <v>49</v>
      </c>
      <c r="I40" t="s">
        <v>20</v>
      </c>
      <c r="J40" s="2" t="s">
        <v>109</v>
      </c>
      <c r="K40" t="str">
        <f>INDEX('[1]System Data'!$A:$A,MATCH(J40,'[1]System Data'!$B:$B,0))</f>
        <v>17</v>
      </c>
      <c r="L40" t="s">
        <v>2</v>
      </c>
      <c r="N40" t="str">
        <f t="shared" si="5"/>
        <v>No</v>
      </c>
      <c r="O40" t="str">
        <f t="shared" si="1"/>
        <v/>
      </c>
    </row>
    <row r="41" spans="4:15" x14ac:dyDescent="0.35">
      <c r="D41">
        <f t="shared" si="7"/>
        <v>4</v>
      </c>
      <c r="E41" t="s">
        <v>46</v>
      </c>
      <c r="F41" t="s">
        <v>47</v>
      </c>
      <c r="G41" t="s">
        <v>16</v>
      </c>
      <c r="H41" t="s">
        <v>49</v>
      </c>
      <c r="I41" t="s">
        <v>48</v>
      </c>
      <c r="J41" s="2" t="s">
        <v>110</v>
      </c>
      <c r="K41" t="str">
        <f>INDEX('[1]System Data'!$A:$A,MATCH(J41,'[1]System Data'!$B:$B,0))</f>
        <v>18</v>
      </c>
      <c r="L41" t="s">
        <v>2</v>
      </c>
      <c r="N41" t="str">
        <f t="shared" si="5"/>
        <v>No</v>
      </c>
      <c r="O41" t="str">
        <f t="shared" si="1"/>
        <v/>
      </c>
    </row>
    <row r="42" spans="4:15" x14ac:dyDescent="0.35">
      <c r="D42">
        <f t="shared" si="7"/>
        <v>4</v>
      </c>
      <c r="E42" t="s">
        <v>46</v>
      </c>
      <c r="F42" t="s">
        <v>47</v>
      </c>
      <c r="G42" t="s">
        <v>16</v>
      </c>
      <c r="H42" t="s">
        <v>49</v>
      </c>
      <c r="I42" t="s">
        <v>51</v>
      </c>
      <c r="J42" s="2" t="s">
        <v>111</v>
      </c>
      <c r="K42" t="str">
        <f>INDEX('[1]System Data'!$A:$A,MATCH(J42,'[1]System Data'!$B:$B,0))</f>
        <v>19</v>
      </c>
      <c r="L42" t="s">
        <v>2</v>
      </c>
      <c r="N42" t="str">
        <f t="shared" si="5"/>
        <v>No</v>
      </c>
      <c r="O42" t="str">
        <f t="shared" si="1"/>
        <v/>
      </c>
    </row>
    <row r="43" spans="4:15" x14ac:dyDescent="0.35">
      <c r="D43">
        <f t="shared" si="7"/>
        <v>4</v>
      </c>
      <c r="E43" t="s">
        <v>46</v>
      </c>
      <c r="F43" t="s">
        <v>47</v>
      </c>
      <c r="G43" t="s">
        <v>12</v>
      </c>
      <c r="H43" t="s">
        <v>52</v>
      </c>
      <c r="J43" s="2" t="s">
        <v>67</v>
      </c>
      <c r="K43" t="str">
        <f>INDEX('[1]System Data'!$A:$A,MATCH(J43,'[1]System Data'!$B:$B,0))</f>
        <v>21</v>
      </c>
      <c r="L43" t="s">
        <v>2</v>
      </c>
      <c r="N43" t="str">
        <f t="shared" si="5"/>
        <v>No</v>
      </c>
      <c r="O43" t="str">
        <f t="shared" si="1"/>
        <v/>
      </c>
    </row>
    <row r="44" spans="4:15" x14ac:dyDescent="0.35">
      <c r="D44">
        <f t="shared" si="7"/>
        <v>4</v>
      </c>
      <c r="E44" t="s">
        <v>46</v>
      </c>
      <c r="F44" t="s">
        <v>47</v>
      </c>
      <c r="G44" t="s">
        <v>13</v>
      </c>
      <c r="H44" t="s">
        <v>52</v>
      </c>
      <c r="I44" t="s">
        <v>20</v>
      </c>
      <c r="J44" s="2" t="s">
        <v>113</v>
      </c>
      <c r="K44" t="str">
        <f>INDEX('[1]System Data'!$A:$A,MATCH(J44,'[1]System Data'!$B:$B,0))</f>
        <v>23</v>
      </c>
      <c r="L44" t="s">
        <v>2</v>
      </c>
      <c r="N44" t="str">
        <f t="shared" si="5"/>
        <v>No</v>
      </c>
      <c r="O44" t="str">
        <f t="shared" si="1"/>
        <v/>
      </c>
    </row>
    <row r="45" spans="4:15" x14ac:dyDescent="0.35">
      <c r="D45">
        <f t="shared" si="7"/>
        <v>4</v>
      </c>
      <c r="E45" t="s">
        <v>46</v>
      </c>
      <c r="F45" t="s">
        <v>47</v>
      </c>
      <c r="G45" t="s">
        <v>15</v>
      </c>
      <c r="H45" t="s">
        <v>15</v>
      </c>
      <c r="I45" t="s">
        <v>53</v>
      </c>
      <c r="J45" s="2" t="s">
        <v>102</v>
      </c>
      <c r="K45" t="str">
        <f>INDEX('[1]System Data'!$A:$A,MATCH(J45,'[1]System Data'!$B:$B,0))</f>
        <v>57</v>
      </c>
      <c r="L45" t="s">
        <v>2</v>
      </c>
      <c r="N45" t="str">
        <f t="shared" si="5"/>
        <v>No</v>
      </c>
      <c r="O45" t="str">
        <f t="shared" si="1"/>
        <v/>
      </c>
    </row>
    <row r="46" spans="4:15" x14ac:dyDescent="0.35">
      <c r="D46">
        <f t="shared" si="7"/>
        <v>4</v>
      </c>
      <c r="E46" t="s">
        <v>46</v>
      </c>
      <c r="F46" t="s">
        <v>47</v>
      </c>
      <c r="G46" t="s">
        <v>15</v>
      </c>
      <c r="H46" t="s">
        <v>15</v>
      </c>
      <c r="I46" t="s">
        <v>54</v>
      </c>
      <c r="J46" s="2" t="s">
        <v>104</v>
      </c>
      <c r="K46" t="str">
        <f>INDEX('[1]System Data'!$A:$A,MATCH(J46,'[1]System Data'!$B:$B,0))</f>
        <v>61</v>
      </c>
      <c r="L46" t="s">
        <v>2</v>
      </c>
      <c r="N46" t="str">
        <f t="shared" si="5"/>
        <v>No</v>
      </c>
      <c r="O46" t="str">
        <f t="shared" si="1"/>
        <v/>
      </c>
    </row>
    <row r="47" spans="4:15" x14ac:dyDescent="0.35">
      <c r="D47">
        <f t="shared" si="7"/>
        <v>4</v>
      </c>
      <c r="E47" t="s">
        <v>46</v>
      </c>
      <c r="F47" t="s">
        <v>47</v>
      </c>
      <c r="G47" t="s">
        <v>13</v>
      </c>
      <c r="H47" t="s">
        <v>52</v>
      </c>
      <c r="I47" t="s">
        <v>35</v>
      </c>
      <c r="J47" s="2" t="s">
        <v>114</v>
      </c>
      <c r="K47" t="str">
        <f>INDEX('[1]System Data'!$A:$A,MATCH(J47,'[1]System Data'!$B:$B,0))</f>
        <v>24</v>
      </c>
      <c r="L47" t="s">
        <v>2</v>
      </c>
      <c r="N47" t="str">
        <f t="shared" si="5"/>
        <v>No</v>
      </c>
      <c r="O47" t="str">
        <f t="shared" si="1"/>
        <v/>
      </c>
    </row>
    <row r="48" spans="4:15" x14ac:dyDescent="0.35">
      <c r="D48">
        <f t="shared" si="7"/>
        <v>4</v>
      </c>
      <c r="E48" t="s">
        <v>46</v>
      </c>
      <c r="F48" t="s">
        <v>47</v>
      </c>
      <c r="G48" t="s">
        <v>16</v>
      </c>
      <c r="H48" t="s">
        <v>52</v>
      </c>
      <c r="I48" t="s">
        <v>115</v>
      </c>
      <c r="J48" s="2" t="s">
        <v>116</v>
      </c>
      <c r="K48" t="str">
        <f>INDEX('[1]System Data'!$A:$A,MATCH(J48,'[1]System Data'!$B:$B,0))</f>
        <v>25</v>
      </c>
      <c r="L48" t="s">
        <v>2</v>
      </c>
      <c r="N48" t="str">
        <f t="shared" ref="N48" si="8">IF(D48&lt;=$B$1, L48, $B$3)</f>
        <v>No</v>
      </c>
      <c r="O48" t="str">
        <f t="shared" si="1"/>
        <v/>
      </c>
    </row>
    <row r="49" spans="4:15" x14ac:dyDescent="0.35">
      <c r="D49">
        <f>D47+1</f>
        <v>5</v>
      </c>
      <c r="E49" t="s">
        <v>55</v>
      </c>
      <c r="F49" t="s">
        <v>56</v>
      </c>
      <c r="G49" t="s">
        <v>13</v>
      </c>
      <c r="H49" t="s">
        <v>17</v>
      </c>
      <c r="I49" t="s">
        <v>56</v>
      </c>
      <c r="J49" s="2" t="s">
        <v>81</v>
      </c>
      <c r="K49" t="str">
        <f>INDEX('[1]System Data'!$A:$A,MATCH(J49,'[1]System Data'!$B:$B,0))</f>
        <v>50</v>
      </c>
      <c r="L49" t="s">
        <v>2</v>
      </c>
      <c r="N49" t="str">
        <f t="shared" si="5"/>
        <v>No</v>
      </c>
      <c r="O49" t="str">
        <f t="shared" si="1"/>
        <v/>
      </c>
    </row>
    <row r="50" spans="4:15" x14ac:dyDescent="0.35">
      <c r="D50">
        <f>$D$49</f>
        <v>5</v>
      </c>
      <c r="E50" t="s">
        <v>55</v>
      </c>
      <c r="F50" t="s">
        <v>56</v>
      </c>
      <c r="G50" t="s">
        <v>13</v>
      </c>
      <c r="H50" t="s">
        <v>52</v>
      </c>
      <c r="I50" t="s">
        <v>57</v>
      </c>
      <c r="J50" s="2" t="s">
        <v>117</v>
      </c>
      <c r="K50" t="str">
        <f>INDEX('[1]System Data'!$A:$A,MATCH(J50,'[1]System Data'!$B:$B,0))</f>
        <v>26</v>
      </c>
      <c r="L50" t="s">
        <v>2</v>
      </c>
      <c r="N50" t="str">
        <f t="shared" si="5"/>
        <v>No</v>
      </c>
      <c r="O50" t="str">
        <f t="shared" si="1"/>
        <v/>
      </c>
    </row>
    <row r="51" spans="4:15" x14ac:dyDescent="0.35">
      <c r="D51">
        <f>D50+1</f>
        <v>6</v>
      </c>
      <c r="E51" t="s">
        <v>58</v>
      </c>
      <c r="F51" t="s">
        <v>59</v>
      </c>
      <c r="G51" t="s">
        <v>13</v>
      </c>
      <c r="H51" t="s">
        <v>17</v>
      </c>
      <c r="I51" t="s">
        <v>59</v>
      </c>
      <c r="J51" s="2" t="s">
        <v>82</v>
      </c>
      <c r="K51" t="str">
        <f>INDEX('[1]System Data'!$A:$A,MATCH(J51,'[1]System Data'!$B:$B,0))</f>
        <v>51</v>
      </c>
      <c r="L51" t="s">
        <v>2</v>
      </c>
      <c r="N51" t="str">
        <f t="shared" si="5"/>
        <v>No</v>
      </c>
      <c r="O51" t="str">
        <f t="shared" si="1"/>
        <v/>
      </c>
    </row>
    <row r="52" spans="4:15" x14ac:dyDescent="0.35">
      <c r="D52">
        <f>$D$51</f>
        <v>6</v>
      </c>
      <c r="E52" t="s">
        <v>58</v>
      </c>
      <c r="F52" t="s">
        <v>59</v>
      </c>
      <c r="G52" t="s">
        <v>16</v>
      </c>
      <c r="H52" t="s">
        <v>17</v>
      </c>
      <c r="I52" t="s">
        <v>48</v>
      </c>
      <c r="J52" s="2" t="s">
        <v>83</v>
      </c>
      <c r="K52" t="str">
        <f>INDEX('[1]System Data'!$A:$A,MATCH(J52,'[1]System Data'!$B:$B,0))</f>
        <v>52</v>
      </c>
      <c r="L52" t="s">
        <v>2</v>
      </c>
      <c r="N52" t="str">
        <f t="shared" si="5"/>
        <v>No</v>
      </c>
      <c r="O52" t="str">
        <f t="shared" si="1"/>
        <v/>
      </c>
    </row>
    <row r="53" spans="4:15" x14ac:dyDescent="0.35">
      <c r="D53">
        <f t="shared" ref="D53:D55" si="9">$D$51</f>
        <v>6</v>
      </c>
      <c r="E53" t="s">
        <v>58</v>
      </c>
      <c r="F53" t="s">
        <v>59</v>
      </c>
      <c r="G53" t="s">
        <v>13</v>
      </c>
      <c r="H53" t="s">
        <v>52</v>
      </c>
      <c r="I53" t="s">
        <v>61</v>
      </c>
      <c r="J53" s="2" t="s">
        <v>118</v>
      </c>
      <c r="K53" t="str">
        <f>INDEX('[1]System Data'!$A:$A,MATCH(J53,'[1]System Data'!$B:$B,0))</f>
        <v>27</v>
      </c>
      <c r="L53" t="s">
        <v>2</v>
      </c>
      <c r="N53" t="str">
        <f t="shared" si="5"/>
        <v>No</v>
      </c>
      <c r="O53" t="str">
        <f t="shared" si="1"/>
        <v/>
      </c>
    </row>
    <row r="54" spans="4:15" x14ac:dyDescent="0.35">
      <c r="D54">
        <f t="shared" si="9"/>
        <v>6</v>
      </c>
      <c r="E54" t="s">
        <v>58</v>
      </c>
      <c r="F54" t="s">
        <v>59</v>
      </c>
      <c r="G54" t="s">
        <v>16</v>
      </c>
      <c r="H54" t="s">
        <v>52</v>
      </c>
      <c r="I54" t="s">
        <v>48</v>
      </c>
      <c r="J54" s="2" t="s">
        <v>119</v>
      </c>
      <c r="K54" t="str">
        <f>INDEX('[1]System Data'!$A:$A,MATCH(J54,'[1]System Data'!$B:$B,0))</f>
        <v>28</v>
      </c>
      <c r="L54" t="s">
        <v>2</v>
      </c>
      <c r="N54" t="str">
        <f t="shared" si="5"/>
        <v>No</v>
      </c>
      <c r="O54" t="str">
        <f t="shared" si="1"/>
        <v/>
      </c>
    </row>
    <row r="55" spans="4:15" x14ac:dyDescent="0.35">
      <c r="D55">
        <f t="shared" si="9"/>
        <v>6</v>
      </c>
      <c r="E55" t="s">
        <v>58</v>
      </c>
      <c r="F55" t="s">
        <v>59</v>
      </c>
      <c r="G55" t="s">
        <v>15</v>
      </c>
      <c r="H55" t="s">
        <v>15</v>
      </c>
      <c r="I55" t="s">
        <v>62</v>
      </c>
      <c r="J55" s="2" t="s">
        <v>103</v>
      </c>
      <c r="K55" t="str">
        <f>INDEX('[1]System Data'!$A:$A,MATCH(J55,'[1]System Data'!$B:$B,0))</f>
        <v>59</v>
      </c>
      <c r="L55" t="s">
        <v>2</v>
      </c>
      <c r="N55" t="str">
        <f t="shared" si="5"/>
        <v>No</v>
      </c>
      <c r="O55" t="str">
        <f t="shared" si="1"/>
        <v/>
      </c>
    </row>
    <row r="56" spans="4:15" x14ac:dyDescent="0.35">
      <c r="D56">
        <f>D55+1</f>
        <v>7</v>
      </c>
      <c r="E56" t="s">
        <v>58</v>
      </c>
      <c r="F56" t="s">
        <v>63</v>
      </c>
      <c r="G56" t="s">
        <v>13</v>
      </c>
      <c r="H56" t="s">
        <v>17</v>
      </c>
      <c r="I56" t="s">
        <v>63</v>
      </c>
      <c r="J56" s="2" t="s">
        <v>84</v>
      </c>
      <c r="K56" t="str">
        <f>INDEX('[1]System Data'!$A:$A,MATCH(J56,'[1]System Data'!$B:$B,0))</f>
        <v>53</v>
      </c>
      <c r="L56" t="s">
        <v>2</v>
      </c>
      <c r="N56" t="str">
        <f t="shared" si="5"/>
        <v>No</v>
      </c>
      <c r="O56" t="str">
        <f t="shared" si="1"/>
        <v/>
      </c>
    </row>
    <row r="57" spans="4:15" x14ac:dyDescent="0.35">
      <c r="D57">
        <f>$D$56</f>
        <v>7</v>
      </c>
      <c r="E57" t="s">
        <v>58</v>
      </c>
      <c r="F57" t="s">
        <v>63</v>
      </c>
      <c r="G57" t="s">
        <v>13</v>
      </c>
      <c r="H57" t="s">
        <v>49</v>
      </c>
      <c r="I57" t="s">
        <v>64</v>
      </c>
      <c r="J57" s="2" t="s">
        <v>112</v>
      </c>
      <c r="K57" t="str">
        <f>INDEX('[1]System Data'!$A:$A,MATCH(J57,'[1]System Data'!$B:$B,0))</f>
        <v>20</v>
      </c>
      <c r="L57" t="s">
        <v>2</v>
      </c>
      <c r="N57" t="str">
        <f t="shared" si="5"/>
        <v>No</v>
      </c>
      <c r="O57" t="str">
        <f t="shared" si="1"/>
        <v/>
      </c>
    </row>
    <row r="62" spans="4:15" x14ac:dyDescent="0.35">
      <c r="J62" s="2"/>
    </row>
    <row r="65" spans="10:10" x14ac:dyDescent="0.35">
      <c r="J65" s="2"/>
    </row>
    <row r="66" spans="10:10" x14ac:dyDescent="0.35">
      <c r="J66" s="2"/>
    </row>
    <row r="67" spans="10:10" x14ac:dyDescent="0.35">
      <c r="J67" s="2"/>
    </row>
    <row r="68" spans="10:10" x14ac:dyDescent="0.35">
      <c r="J68" s="2"/>
    </row>
    <row r="69" spans="10:10" x14ac:dyDescent="0.35">
      <c r="J69" s="2"/>
    </row>
    <row r="70" spans="10:10" x14ac:dyDescent="0.35">
      <c r="J70" s="2"/>
    </row>
    <row r="71" spans="10:10" x14ac:dyDescent="0.35">
      <c r="J71" s="2"/>
    </row>
    <row r="72" spans="10:10" x14ac:dyDescent="0.35">
      <c r="J72" s="2"/>
    </row>
    <row r="73" spans="10:10" x14ac:dyDescent="0.35">
      <c r="J73" s="2"/>
    </row>
    <row r="74" spans="10:10" x14ac:dyDescent="0.35">
      <c r="J74" s="2"/>
    </row>
    <row r="75" spans="10:10" x14ac:dyDescent="0.35">
      <c r="J75" s="2"/>
    </row>
  </sheetData>
  <autoFilter ref="D1:O70" xr:uid="{00000000-0001-0000-0000-000000000000}"/>
  <phoneticPr fontId="2" type="noConversion"/>
  <conditionalFormatting sqref="D2:F57">
    <cfRule type="expression" dxfId="2" priority="9">
      <formula>$F2=$F1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Fien Spriet</dc:creator>
  <cp:lastModifiedBy>Fien Spriet</cp:lastModifiedBy>
  <dcterms:created xsi:type="dcterms:W3CDTF">2015-06-05T18:17:20Z</dcterms:created>
  <dcterms:modified xsi:type="dcterms:W3CDTF">2025-11-02T14:43:51Z</dcterms:modified>
</cp:coreProperties>
</file>