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spr805\Documents\Git projecten\OOSD I\H05\H05_oefOpl\"/>
    </mc:Choice>
  </mc:AlternateContent>
  <xr:revisionPtr revIDLastSave="0" documentId="13_ncr:1_{E275FF31-74FA-40B0-ADF1-7563A110A58C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tappen" sheetId="1" r:id="rId1"/>
    <sheet name="Export" sheetId="2" r:id="rId2"/>
  </sheets>
  <externalReferences>
    <externalReference r:id="rId3"/>
  </externalReferences>
  <definedNames>
    <definedName name="_xlnm._FilterDatabase" localSheetId="0" hidden="1">Stappen!$D$1:$P$62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D29" i="1"/>
  <c r="K30" i="1" l="1"/>
  <c r="Q2" i="1"/>
  <c r="Q3" i="1"/>
  <c r="Q4" i="1"/>
  <c r="Q6" i="1"/>
  <c r="Q8" i="1"/>
  <c r="Q9" i="1"/>
  <c r="Q10" i="1"/>
  <c r="Q13" i="1"/>
  <c r="Q14" i="1"/>
  <c r="Q15" i="1"/>
  <c r="Q5" i="1"/>
  <c r="P14" i="1"/>
  <c r="R14" i="1"/>
  <c r="S14" i="1"/>
  <c r="T14" i="1"/>
  <c r="P15" i="1"/>
  <c r="R15" i="1"/>
  <c r="S15" i="1"/>
  <c r="T15" i="1"/>
  <c r="P16" i="1"/>
  <c r="P17" i="1"/>
  <c r="P18" i="1"/>
  <c r="R18" i="1"/>
  <c r="S18" i="1"/>
  <c r="T18" i="1"/>
  <c r="P19" i="1"/>
  <c r="R19" i="1"/>
  <c r="S19" i="1"/>
  <c r="T19" i="1"/>
  <c r="R20" i="1"/>
  <c r="S20" i="1"/>
  <c r="T20" i="1"/>
  <c r="R21" i="1"/>
  <c r="S21" i="1"/>
  <c r="T21" i="1"/>
  <c r="P22" i="1"/>
  <c r="R22" i="1"/>
  <c r="S22" i="1"/>
  <c r="T22" i="1"/>
  <c r="P23" i="1"/>
  <c r="R23" i="1"/>
  <c r="S23" i="1"/>
  <c r="T23" i="1"/>
  <c r="P24" i="1"/>
  <c r="R24" i="1"/>
  <c r="S24" i="1"/>
  <c r="T24" i="1"/>
  <c r="P25" i="1"/>
  <c r="R25" i="1"/>
  <c r="S25" i="1"/>
  <c r="T25" i="1"/>
  <c r="R26" i="1"/>
  <c r="S26" i="1"/>
  <c r="T26" i="1"/>
  <c r="P27" i="1"/>
  <c r="R27" i="1"/>
  <c r="S27" i="1"/>
  <c r="T27" i="1"/>
  <c r="R28" i="1"/>
  <c r="S28" i="1"/>
  <c r="T28" i="1"/>
  <c r="P33" i="1"/>
  <c r="R33" i="1"/>
  <c r="S33" i="1"/>
  <c r="T33" i="1"/>
  <c r="P34" i="1"/>
  <c r="R34" i="1"/>
  <c r="S34" i="1"/>
  <c r="T34" i="1"/>
  <c r="P29" i="1"/>
  <c r="R29" i="1"/>
  <c r="S29" i="1"/>
  <c r="T29" i="1"/>
  <c r="R30" i="1"/>
  <c r="S30" i="1"/>
  <c r="T30" i="1"/>
  <c r="P31" i="1"/>
  <c r="R31" i="1"/>
  <c r="S31" i="1"/>
  <c r="T31" i="1"/>
  <c r="K33" i="1"/>
  <c r="K34" i="1"/>
  <c r="K29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P13" i="1"/>
  <c r="R13" i="1"/>
  <c r="S13" i="1"/>
  <c r="T13" i="1"/>
  <c r="B5" i="1"/>
  <c r="T3" i="1"/>
  <c r="T4" i="1"/>
  <c r="T5" i="1"/>
  <c r="T6" i="1"/>
  <c r="T8" i="1"/>
  <c r="T9" i="1"/>
  <c r="T10" i="1"/>
  <c r="T2" i="1"/>
  <c r="S3" i="1"/>
  <c r="S4" i="1"/>
  <c r="S5" i="1"/>
  <c r="S6" i="1"/>
  <c r="S8" i="1"/>
  <c r="S9" i="1"/>
  <c r="S10" i="1"/>
  <c r="S2" i="1"/>
  <c r="R8" i="1"/>
  <c r="R9" i="1"/>
  <c r="R10" i="1"/>
  <c r="R2" i="1"/>
  <c r="R3" i="1"/>
  <c r="R4" i="1"/>
  <c r="R5" i="1"/>
  <c r="R6" i="1"/>
  <c r="K12" i="1"/>
  <c r="P12" i="1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9" i="2"/>
  <c r="Y8" i="2"/>
  <c r="Y7" i="2"/>
  <c r="Y6" i="2"/>
  <c r="Y3" i="2"/>
  <c r="P2" i="1"/>
  <c r="P3" i="1"/>
  <c r="P4" i="1"/>
  <c r="P6" i="1"/>
  <c r="P8" i="1"/>
  <c r="P11" i="1"/>
  <c r="P7" i="1"/>
  <c r="K11" i="1" l="1"/>
  <c r="K10" i="1"/>
  <c r="K8" i="1"/>
  <c r="K9" i="1"/>
  <c r="K6" i="1"/>
  <c r="K5" i="1" l="1"/>
  <c r="D3" i="1"/>
  <c r="D4" i="1" s="1"/>
  <c r="D5" i="1" s="1"/>
  <c r="D6" i="1" l="1"/>
  <c r="O6" i="1" s="1"/>
  <c r="P5" i="1"/>
  <c r="K3" i="1"/>
  <c r="K4" i="1"/>
  <c r="K7" i="1"/>
  <c r="K31" i="1"/>
  <c r="K32" i="1"/>
  <c r="K2" i="1"/>
  <c r="D7" i="1" l="1"/>
  <c r="Q7" i="1" s="1"/>
  <c r="R7" i="1"/>
  <c r="S7" i="1"/>
  <c r="T7" i="1"/>
  <c r="AZ29" i="2"/>
  <c r="AY12" i="2"/>
  <c r="AX12" i="2" s="1"/>
  <c r="AZ8" i="2"/>
  <c r="AZ25" i="2"/>
  <c r="AZ7" i="2"/>
  <c r="AZ6" i="2"/>
  <c r="AZ15" i="2"/>
  <c r="AZ21" i="2"/>
  <c r="AZ3" i="2"/>
  <c r="AZ14" i="2"/>
  <c r="AZ28" i="2"/>
  <c r="AZ19" i="2"/>
  <c r="AZ12" i="2"/>
  <c r="AZ13" i="2"/>
  <c r="AZ24" i="2"/>
  <c r="AZ18" i="2"/>
  <c r="AZ9" i="2"/>
  <c r="AZ20" i="2"/>
  <c r="AZ16" i="2"/>
  <c r="AZ27" i="2"/>
  <c r="AZ26" i="2"/>
  <c r="AZ23" i="2"/>
  <c r="AZ22" i="2"/>
  <c r="D8" i="1"/>
  <c r="O8" i="1" s="1"/>
  <c r="AY3" i="2" s="1"/>
  <c r="AX3" i="2" s="1"/>
  <c r="O5" i="1"/>
  <c r="D9" i="1" l="1"/>
  <c r="P9" i="1" s="1"/>
  <c r="O3" i="1"/>
  <c r="O4" i="1"/>
  <c r="O7" i="1"/>
  <c r="AY19" i="2" l="1"/>
  <c r="AX19" i="2" s="1"/>
  <c r="AY9" i="2"/>
  <c r="AX9" i="2" s="1"/>
  <c r="AY29" i="2"/>
  <c r="AX29" i="2" s="1"/>
  <c r="D10" i="1"/>
  <c r="O9" i="1"/>
  <c r="O2" i="1"/>
  <c r="AY18" i="2" l="1"/>
  <c r="AX18" i="2" s="1"/>
  <c r="D11" i="1"/>
  <c r="O11" i="1" s="1"/>
  <c r="P10" i="1"/>
  <c r="O10" i="1"/>
  <c r="D12" i="1" l="1"/>
  <c r="Q12" i="1" s="1"/>
  <c r="Q11" i="1"/>
  <c r="S12" i="1"/>
  <c r="R11" i="1"/>
  <c r="T11" i="1"/>
  <c r="S11" i="1"/>
  <c r="R12" i="1" l="1"/>
  <c r="O12" i="1"/>
  <c r="D13" i="1"/>
  <c r="O13" i="1" s="1"/>
  <c r="T12" i="1"/>
  <c r="D14" i="1" l="1"/>
  <c r="D15" i="1" s="1"/>
  <c r="AY6" i="2"/>
  <c r="AX6" i="2" s="1"/>
  <c r="O14" i="1" l="1"/>
  <c r="D16" i="1"/>
  <c r="Q16" i="1" s="1"/>
  <c r="O15" i="1"/>
  <c r="AY7" i="2" l="1"/>
  <c r="AX7" i="2" s="1"/>
  <c r="AY8" i="2"/>
  <c r="AX8" i="2" s="1"/>
  <c r="R16" i="1"/>
  <c r="S16" i="1"/>
  <c r="T16" i="1"/>
  <c r="O16" i="1"/>
  <c r="D17" i="1"/>
  <c r="D18" i="1" l="1"/>
  <c r="D19" i="1" s="1"/>
  <c r="D20" i="1" s="1"/>
  <c r="P20" i="1" s="1"/>
  <c r="Q17" i="1"/>
  <c r="R17" i="1"/>
  <c r="S17" i="1"/>
  <c r="T17" i="1"/>
  <c r="O17" i="1"/>
  <c r="AY27" i="2"/>
  <c r="AX27" i="2" s="1"/>
  <c r="AZ4" i="2" l="1"/>
  <c r="Y4" i="2" s="1"/>
  <c r="AY28" i="2"/>
  <c r="AX28" i="2" s="1"/>
  <c r="O18" i="1"/>
  <c r="AY20" i="2" l="1"/>
  <c r="AX20" i="2" s="1"/>
  <c r="O19" i="1"/>
  <c r="AY13" i="2" l="1"/>
  <c r="AX13" i="2" s="1"/>
  <c r="O20" i="1"/>
  <c r="D21" i="1"/>
  <c r="AY4" i="2" l="1"/>
  <c r="AX4" i="2" s="1"/>
  <c r="O21" i="1"/>
  <c r="P21" i="1"/>
  <c r="D22" i="1"/>
  <c r="AY5" i="2" l="1"/>
  <c r="AX5" i="2" s="1"/>
  <c r="AZ5" i="2"/>
  <c r="Y5" i="2" s="1"/>
  <c r="O22" i="1"/>
  <c r="D23" i="1"/>
  <c r="AY21" i="2" l="1"/>
  <c r="AX21" i="2" s="1"/>
  <c r="D24" i="1"/>
  <c r="O23" i="1"/>
  <c r="AY22" i="2" l="1"/>
  <c r="AX22" i="2" s="1"/>
  <c r="D25" i="1"/>
  <c r="O24" i="1"/>
  <c r="AY14" i="2" l="1"/>
  <c r="AX14" i="2" s="1"/>
  <c r="D26" i="1"/>
  <c r="O25" i="1"/>
  <c r="AY15" i="2" l="1"/>
  <c r="AX15" i="2" s="1"/>
  <c r="P26" i="1"/>
  <c r="D27" i="1"/>
  <c r="O26" i="1"/>
  <c r="D28" i="1" l="1"/>
  <c r="O27" i="1"/>
  <c r="AY23" i="2" l="1"/>
  <c r="AX23" i="2" s="1"/>
  <c r="P28" i="1"/>
  <c r="O28" i="1"/>
  <c r="AZ11" i="2" l="1"/>
  <c r="Y11" i="2" s="1"/>
  <c r="AY11" i="2"/>
  <c r="AX11" i="2" s="1"/>
  <c r="D34" i="1"/>
  <c r="O33" i="1"/>
  <c r="AY24" i="2" l="1"/>
  <c r="AX24" i="2" s="1"/>
  <c r="O34" i="1"/>
  <c r="AY16" i="2" l="1"/>
  <c r="AX16" i="2" s="1"/>
  <c r="D30" i="1"/>
  <c r="O29" i="1"/>
  <c r="AY25" i="2" l="1"/>
  <c r="AX25" i="2" s="1"/>
  <c r="D31" i="1"/>
  <c r="P30" i="1"/>
  <c r="O30" i="1"/>
  <c r="AZ10" i="2" l="1"/>
  <c r="Y10" i="2" s="1"/>
  <c r="AY10" i="2"/>
  <c r="AX10" i="2" s="1"/>
  <c r="D32" i="1"/>
  <c r="O31" i="1"/>
  <c r="AY26" i="2" l="1"/>
  <c r="AX26" i="2" s="1"/>
  <c r="P32" i="1"/>
  <c r="O32" i="1"/>
  <c r="AZ17" i="2" l="1"/>
  <c r="AY17" i="2"/>
  <c r="AX17" i="2" s="1"/>
</calcChain>
</file>

<file path=xl/sharedStrings.xml><?xml version="1.0" encoding="utf-8"?>
<sst xmlns="http://schemas.openxmlformats.org/spreadsheetml/2006/main" count="780" uniqueCount="226">
  <si>
    <t>IT 1</t>
  </si>
  <si>
    <t>wat?</t>
  </si>
  <si>
    <t>DomeinController</t>
  </si>
  <si>
    <t>No</t>
  </si>
  <si>
    <t>Yes</t>
  </si>
  <si>
    <t>Stappen</t>
  </si>
  <si>
    <t>Iteratie</t>
  </si>
  <si>
    <t>Toon tem stap:</t>
  </si>
  <si>
    <t>Default AX</t>
  </si>
  <si>
    <t>Default AH</t>
  </si>
  <si>
    <t>Klasse</t>
  </si>
  <si>
    <t>Methode</t>
  </si>
  <si>
    <t>Attribuut</t>
  </si>
  <si>
    <t>Associatie</t>
  </si>
  <si>
    <t>Parameter</t>
  </si>
  <si>
    <t>DC</t>
  </si>
  <si>
    <t>ID VP</t>
  </si>
  <si>
    <t>ID VP (nr)</t>
  </si>
  <si>
    <t>Trekking</t>
  </si>
  <si>
    <t>Controller startHogerLager</t>
  </si>
  <si>
    <t>DC toevoegen</t>
  </si>
  <si>
    <t>methode startHogerLager</t>
  </si>
  <si>
    <t>Klasse HogerLager</t>
  </si>
  <si>
    <t>HogerLager</t>
  </si>
  <si>
    <t>attr score</t>
  </si>
  <si>
    <t>Associatie hl</t>
  </si>
  <si>
    <t>ass dc -&gt; hogerlager</t>
  </si>
  <si>
    <t>Ctor HogerLager</t>
  </si>
  <si>
    <t>ctor HogerLager</t>
  </si>
  <si>
    <t>Klasse Kaart</t>
  </si>
  <si>
    <t>Kaart</t>
  </si>
  <si>
    <t>waarde</t>
  </si>
  <si>
    <t>attr waarde</t>
  </si>
  <si>
    <t>attr kleur</t>
  </si>
  <si>
    <t>waarde AO</t>
  </si>
  <si>
    <t>delete?</t>
  </si>
  <si>
    <t>getter?</t>
  </si>
  <si>
    <t>details associatie?</t>
  </si>
  <si>
    <t/>
  </si>
  <si>
    <t>ID</t>
  </si>
  <si>
    <t>Name</t>
  </si>
  <si>
    <t>Type</t>
  </si>
  <si>
    <t>Description</t>
  </si>
  <si>
    <t>Parent Model</t>
  </si>
  <si>
    <t>Model ID</t>
  </si>
  <si>
    <t>Stereotypes</t>
  </si>
  <si>
    <t>Visibility</t>
  </si>
  <si>
    <t>Abstract</t>
  </si>
  <si>
    <t>Leaf</t>
  </si>
  <si>
    <t>Root</t>
  </si>
  <si>
    <t>Active</t>
  </si>
  <si>
    <t>Business model</t>
  </si>
  <si>
    <t>Transit From</t>
  </si>
  <si>
    <t>Transit To</t>
  </si>
  <si>
    <t>Initial value</t>
  </si>
  <si>
    <t>Multiplicity</t>
  </si>
  <si>
    <t>Type Modifier</t>
  </si>
  <si>
    <t>Scope</t>
  </si>
  <si>
    <t>Aggregation</t>
  </si>
  <si>
    <t>Derived</t>
  </si>
  <si>
    <t>Visible</t>
  </si>
  <si>
    <t>Setter</t>
  </si>
  <si>
    <t>Getter</t>
  </si>
  <si>
    <t>Unique</t>
  </si>
  <si>
    <t>Return type</t>
  </si>
  <si>
    <t>Lower</t>
  </si>
  <si>
    <t>Upper</t>
  </si>
  <si>
    <t>Body condition</t>
  </si>
  <si>
    <t>Query</t>
  </si>
  <si>
    <t>Ordered</t>
  </si>
  <si>
    <t>Direction</t>
  </si>
  <si>
    <t>Default Value</t>
  </si>
  <si>
    <t>From</t>
  </si>
  <si>
    <t>From Role</t>
  </si>
  <si>
    <t>From Multiplicity</t>
  </si>
  <si>
    <t>From Navigable</t>
  </si>
  <si>
    <t>From Aggregation Kind</t>
  </si>
  <si>
    <t>To</t>
  </si>
  <si>
    <t>To Role</t>
  </si>
  <si>
    <t>To Multiplicity</t>
  </si>
  <si>
    <t>To Navigable</t>
  </si>
  <si>
    <t>To Aggregation Kind</t>
  </si>
  <si>
    <t>ORM Collection Type</t>
  </si>
  <si>
    <t>Diagram ID</t>
  </si>
  <si>
    <t>Diagram Name</t>
  </si>
  <si>
    <t>Parent ID</t>
  </si>
  <si>
    <t>Parent Name</t>
  </si>
  <si>
    <t>Delete ?</t>
  </si>
  <si>
    <t>Diagram</t>
  </si>
  <si>
    <t>1</t>
  </si>
  <si>
    <t>DCD domein</t>
  </si>
  <si>
    <t>ClassDiagram</t>
  </si>
  <si>
    <t>2</t>
  </si>
  <si>
    <t>Class</t>
  </si>
  <si>
    <t>3</t>
  </si>
  <si>
    <t>4</t>
  </si>
  <si>
    <t>public</t>
  </si>
  <si>
    <t>domein</t>
  </si>
  <si>
    <t>Attribute</t>
  </si>
  <si>
    <t>5</t>
  </si>
  <si>
    <t>int</t>
  </si>
  <si>
    <t>private</t>
  </si>
  <si>
    <t>Unspecified</t>
  </si>
  <si>
    <t>instance</t>
  </si>
  <si>
    <t>None</t>
  </si>
  <si>
    <t>6</t>
  </si>
  <si>
    <t>kleur</t>
  </si>
  <si>
    <t>String</t>
  </si>
  <si>
    <t>Operation</t>
  </si>
  <si>
    <t>7</t>
  </si>
  <si>
    <t>8</t>
  </si>
  <si>
    <t>inout</t>
  </si>
  <si>
    <t>9</t>
  </si>
  <si>
    <t>10</t>
  </si>
  <si>
    <t>11</t>
  </si>
  <si>
    <t>12</t>
  </si>
  <si>
    <t>score</t>
  </si>
  <si>
    <t>13</t>
  </si>
  <si>
    <t>correctGeraden</t>
  </si>
  <si>
    <t>boolean</t>
  </si>
  <si>
    <t>14</t>
  </si>
  <si>
    <t>15</t>
  </si>
  <si>
    <t>getHuidigeKaart</t>
  </si>
  <si>
    <t>Design Model.domein.Kaart</t>
  </si>
  <si>
    <t>16</t>
  </si>
  <si>
    <t>raadHogerLager</t>
  </si>
  <si>
    <t>void</t>
  </si>
  <si>
    <t>17</t>
  </si>
  <si>
    <t>hogerLager</t>
  </si>
  <si>
    <t>18</t>
  </si>
  <si>
    <t>isEindeSpel</t>
  </si>
  <si>
    <t>19</t>
  </si>
  <si>
    <t>isGewonnen</t>
  </si>
  <si>
    <t>20</t>
  </si>
  <si>
    <t>21</t>
  </si>
  <si>
    <t>22</t>
  </si>
  <si>
    <t>startHogerLager</t>
  </si>
  <si>
    <t>23</t>
  </si>
  <si>
    <t>geefHuidigeKaart</t>
  </si>
  <si>
    <t>KaartDTO</t>
  </si>
  <si>
    <t>24</t>
  </si>
  <si>
    <t>25</t>
  </si>
  <si>
    <t>26</t>
  </si>
  <si>
    <t>isCorrectGeraden</t>
  </si>
  <si>
    <t>27</t>
  </si>
  <si>
    <t>28</t>
  </si>
  <si>
    <t>geefScore</t>
  </si>
  <si>
    <t>29</t>
  </si>
  <si>
    <t>Association</t>
  </si>
  <si>
    <t>30</t>
  </si>
  <si>
    <t>31</t>
  </si>
  <si>
    <t>False</t>
  </si>
  <si>
    <t>huidigeKaart</t>
  </si>
  <si>
    <t>True</t>
  </si>
  <si>
    <t>32</t>
  </si>
  <si>
    <t>33</t>
  </si>
  <si>
    <t>34</t>
  </si>
  <si>
    <t>trekstapel</t>
  </si>
  <si>
    <t>0..52</t>
  </si>
  <si>
    <t>35</t>
  </si>
  <si>
    <t>36</t>
  </si>
  <si>
    <t>0..1</t>
  </si>
  <si>
    <t>ass hogerlager -&gt; huidigeKaart zonder details!</t>
  </si>
  <si>
    <t>FkUa_96GAqAAwhfk</t>
  </si>
  <si>
    <t>ass hogerlager -&gt; trekstapel zonder details!</t>
  </si>
  <si>
    <t>Kw0a_96GAqAAwhfs</t>
  </si>
  <si>
    <t>CxG6_96GAqAAwhhM</t>
  </si>
  <si>
    <t>Default AO</t>
  </si>
  <si>
    <t>Default AL</t>
  </si>
  <si>
    <t>Default AM</t>
  </si>
  <si>
    <t>waarde AX</t>
  </si>
  <si>
    <t>waarde AH</t>
  </si>
  <si>
    <t>waarde AP</t>
  </si>
  <si>
    <t>waarde AQ</t>
  </si>
  <si>
    <t>Ctor Kaart</t>
  </si>
  <si>
    <t>ctor Kaart</t>
  </si>
  <si>
    <t>param waarde</t>
  </si>
  <si>
    <t>param kleur</t>
  </si>
  <si>
    <t>Associaties kaart uitwerken</t>
  </si>
  <si>
    <t>ass hogerlager -&gt; huidigeKaart details</t>
  </si>
  <si>
    <t>ass hogerlager -&gt; trekstapel details</t>
  </si>
  <si>
    <t>Count yes details</t>
  </si>
  <si>
    <t>Controller geefHuidigeKaart</t>
  </si>
  <si>
    <t>Expert geefHuidigeKaart 1</t>
  </si>
  <si>
    <t>Expert geefHuidigeKaart 2</t>
  </si>
  <si>
    <t>attr waarde getter</t>
  </si>
  <si>
    <t>attr kleur getter</t>
  </si>
  <si>
    <t>Controller raadHogerLager</t>
  </si>
  <si>
    <t>param hogerlager</t>
  </si>
  <si>
    <t>Expert raadHogerLager</t>
  </si>
  <si>
    <t>Attribuut correctGeraden</t>
  </si>
  <si>
    <t>attr correctGeraden</t>
  </si>
  <si>
    <t>Controller isCorrectGeraden</t>
  </si>
  <si>
    <t>Expert isCorrectGeraden</t>
  </si>
  <si>
    <t>attr waarde correctGeraden</t>
  </si>
  <si>
    <t>Controller isEindeSpel</t>
  </si>
  <si>
    <t>Expert isEindeSpel</t>
  </si>
  <si>
    <t>Controller geefScore</t>
  </si>
  <si>
    <t>Expert geefScore</t>
  </si>
  <si>
    <t>attr waarde score</t>
  </si>
  <si>
    <t>Controller isGewonnen</t>
  </si>
  <si>
    <t>Expert isGewonnen</t>
  </si>
  <si>
    <t>VU1q_96GAqAAwhbx</t>
  </si>
  <si>
    <t>Nmg6_96GAqAAwhgs</t>
  </si>
  <si>
    <t>HINq_96GAqAAwhb4</t>
  </si>
  <si>
    <t>yLha_96GAqAAwhgO</t>
  </si>
  <si>
    <t>iq1a_96GAqAAwhgZ</t>
  </si>
  <si>
    <t>dotq_96GAqAAwhb_</t>
  </si>
  <si>
    <t>fqrq_96GAqAAwhcJ</t>
  </si>
  <si>
    <t>V7rq_96GAqAAwhcO</t>
  </si>
  <si>
    <t>Wo3q_96GAqAAwhdY</t>
  </si>
  <si>
    <t>1Evq_96GAqAAwhdc</t>
  </si>
  <si>
    <t>tEvq_96GAqAAwhdd</t>
  </si>
  <si>
    <t>YFQ6_96GAqAAwhgu</t>
  </si>
  <si>
    <t>nBNa_96GAqAAwhgd</t>
  </si>
  <si>
    <t>6mI6_96GAqAAwhgw</t>
  </si>
  <si>
    <t>SVE6_96GAqAAwhg0</t>
  </si>
  <si>
    <t>f8za_96GAqAAwhgh</t>
  </si>
  <si>
    <t>hZra_96GAqAAwhgj</t>
  </si>
  <si>
    <t>haAH8sGGAqAAywrC</t>
  </si>
  <si>
    <t>uec6_96GAqAAwhg5</t>
  </si>
  <si>
    <t>YzC6_96GAqAAwhg7</t>
  </si>
  <si>
    <t>xZra_96GAqAAwhgk</t>
  </si>
  <si>
    <t>94K6_96GAqAAwhg9</t>
  </si>
  <si>
    <t>Y4q6_96GAqAAwhg_</t>
  </si>
  <si>
    <t>147a_96GAqAAwhgm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</si>
</sst>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wrapText="1"/>
    </xf>
    <xf numFmtId="49" fontId="0" fillId="0" borderId="0" xfId="0" applyNumberFormat="1"/>
    <xf numFmtId="0" fontId="5" fillId="0" borderId="0" xfId="0" applyFont="1"/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spr805\Documents\Git%20projecten\OOSD%20I\H05\H05_oefOpl\hogerLager_exportVP.xlsx" TargetMode="External"/><Relationship Id="rId1" Type="http://schemas.openxmlformats.org/officeDocument/2006/relationships/externalLinkPath" Target="hogerLager_exportV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CD domein"/>
      <sheetName val="References"/>
      <sheetName val="Diagram Parent Model"/>
      <sheetName val="System Data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WARNING: Do NOT modify this sheet</v>
          </cell>
        </row>
        <row r="2">
          <cell r="A2" t="str">
            <v>20250813</v>
          </cell>
        </row>
        <row r="3">
          <cell r="A3" t="str">
            <v>757d0a8a90ab837e02b16a2111f9cd84</v>
          </cell>
          <cell r="B3" t="str">
            <v>3</v>
          </cell>
        </row>
        <row r="4">
          <cell r="A4" t="str">
            <v>1</v>
          </cell>
          <cell r="B4" t="str">
            <v>D7Fq_96GAqAAwhbm</v>
          </cell>
        </row>
        <row r="5">
          <cell r="A5" t="str">
            <v>2</v>
          </cell>
          <cell r="B5" t="str">
            <v>YFxq_96GAqAAwhba</v>
          </cell>
        </row>
        <row r="6">
          <cell r="A6" t="str">
            <v>3</v>
          </cell>
          <cell r="B6" t="str">
            <v>dotq_96GAqAAwhb_</v>
          </cell>
        </row>
        <row r="7">
          <cell r="A7" t="str">
            <v>4</v>
          </cell>
          <cell r="B7" t="str">
            <v>dotq_96GAqAAwhcA</v>
          </cell>
        </row>
        <row r="8">
          <cell r="A8" t="str">
            <v>5</v>
          </cell>
          <cell r="B8" t="str">
            <v>fqrq_96GAqAAwhcJ</v>
          </cell>
        </row>
        <row r="9">
          <cell r="A9" t="str">
            <v>6</v>
          </cell>
          <cell r="B9" t="str">
            <v>V7rq_96GAqAAwhcO</v>
          </cell>
        </row>
        <row r="10">
          <cell r="A10" t="str">
            <v>7</v>
          </cell>
          <cell r="B10" t="str">
            <v>Wo3q_96GAqAAwhdY</v>
          </cell>
        </row>
        <row r="11">
          <cell r="A11" t="str">
            <v>8</v>
          </cell>
          <cell r="B11" t="str">
            <v>1Evq_96GAqAAwhdc</v>
          </cell>
        </row>
        <row r="12">
          <cell r="A12" t="str">
            <v>9</v>
          </cell>
          <cell r="B12" t="str">
            <v>tEvq_96GAqAAwhdd</v>
          </cell>
        </row>
        <row r="13">
          <cell r="A13" t="str">
            <v>10</v>
          </cell>
          <cell r="B13" t="str">
            <v>HINq_96GAqAAwhb4</v>
          </cell>
        </row>
        <row r="14">
          <cell r="A14" t="str">
            <v>11</v>
          </cell>
          <cell r="B14" t="str">
            <v>HINq_96GAqAAwhb5</v>
          </cell>
        </row>
        <row r="15">
          <cell r="A15" t="str">
            <v>12</v>
          </cell>
          <cell r="B15" t="str">
            <v>yLha_96GAqAAwhgO</v>
          </cell>
        </row>
        <row r="16">
          <cell r="A16" t="str">
            <v>13</v>
          </cell>
          <cell r="B16" t="str">
            <v>haAH8sGGAqAAywrC</v>
          </cell>
        </row>
        <row r="17">
          <cell r="A17" t="str">
            <v>14</v>
          </cell>
          <cell r="B17" t="str">
            <v>iq1a_96GAqAAwhgZ</v>
          </cell>
        </row>
        <row r="18">
          <cell r="A18" t="str">
            <v>15</v>
          </cell>
          <cell r="B18" t="str">
            <v>nBNa_96GAqAAwhgd</v>
          </cell>
        </row>
        <row r="19">
          <cell r="A19" t="str">
            <v>16</v>
          </cell>
          <cell r="B19" t="str">
            <v>f8za_96GAqAAwhgh</v>
          </cell>
        </row>
        <row r="20">
          <cell r="A20" t="str">
            <v>17</v>
          </cell>
          <cell r="B20" t="str">
            <v>hZra_96GAqAAwhgj</v>
          </cell>
        </row>
        <row r="21">
          <cell r="A21" t="str">
            <v>18</v>
          </cell>
          <cell r="B21" t="str">
            <v>xZra_96GAqAAwhgk</v>
          </cell>
        </row>
        <row r="22">
          <cell r="A22" t="str">
            <v>19</v>
          </cell>
          <cell r="B22" t="str">
            <v>147a_96GAqAAwhgm</v>
          </cell>
        </row>
        <row r="23">
          <cell r="A23" t="str">
            <v>20</v>
          </cell>
          <cell r="B23" t="str">
            <v>VU1q_96GAqAAwhbx</v>
          </cell>
        </row>
        <row r="24">
          <cell r="A24" t="str">
            <v>21</v>
          </cell>
          <cell r="B24" t="str">
            <v>1U1q_96GAqAAwhby</v>
          </cell>
        </row>
        <row r="25">
          <cell r="A25" t="str">
            <v>22</v>
          </cell>
          <cell r="B25" t="str">
            <v>Nmg6_96GAqAAwhgs</v>
          </cell>
        </row>
        <row r="26">
          <cell r="A26" t="str">
            <v>23</v>
          </cell>
          <cell r="B26" t="str">
            <v>YFQ6_96GAqAAwhgu</v>
          </cell>
        </row>
        <row r="27">
          <cell r="A27" t="str">
            <v>24</v>
          </cell>
          <cell r="B27" t="str">
            <v>6mI6_96GAqAAwhgw</v>
          </cell>
        </row>
        <row r="28">
          <cell r="A28" t="str">
            <v>25</v>
          </cell>
          <cell r="B28" t="str">
            <v>SVE6_96GAqAAwhg0</v>
          </cell>
        </row>
        <row r="29">
          <cell r="A29" t="str">
            <v>26</v>
          </cell>
          <cell r="B29" t="str">
            <v>uec6_96GAqAAwhg5</v>
          </cell>
        </row>
        <row r="30">
          <cell r="A30" t="str">
            <v>27</v>
          </cell>
          <cell r="B30" t="str">
            <v>YzC6_96GAqAAwhg7</v>
          </cell>
        </row>
        <row r="31">
          <cell r="A31" t="str">
            <v>28</v>
          </cell>
          <cell r="B31" t="str">
            <v>94K6_96GAqAAwhg9</v>
          </cell>
        </row>
        <row r="32">
          <cell r="A32" t="str">
            <v>29</v>
          </cell>
          <cell r="B32" t="str">
            <v>Y4q6_96GAqAAwhg_</v>
          </cell>
        </row>
        <row r="33">
          <cell r="A33" t="str">
            <v>30</v>
          </cell>
          <cell r="B33" t="str">
            <v>FkUa_96GAqAAwhfk</v>
          </cell>
        </row>
        <row r="34">
          <cell r="A34" t="str">
            <v>31</v>
          </cell>
          <cell r="B34" t="str">
            <v>ukUa_96GAqAAwhff</v>
          </cell>
        </row>
        <row r="35">
          <cell r="A35" t="str">
            <v>32</v>
          </cell>
          <cell r="B35" t="str">
            <v>0Gya_96GAqAAwhf5</v>
          </cell>
        </row>
        <row r="36">
          <cell r="A36" t="str">
            <v>33</v>
          </cell>
          <cell r="B36" t="str">
            <v>Kw0a_96GAqAAwhfs</v>
          </cell>
        </row>
        <row r="37">
          <cell r="A37" t="str">
            <v>34</v>
          </cell>
          <cell r="B37" t="str">
            <v>4w0a_96GAqAAwhfn</v>
          </cell>
        </row>
        <row r="38">
          <cell r="A38" t="str">
            <v>35</v>
          </cell>
          <cell r="B38" t="str">
            <v>CxG6_96GAqAAwhhM</v>
          </cell>
        </row>
        <row r="39">
          <cell r="A39" t="str">
            <v>36</v>
          </cell>
          <cell r="B39" t="str">
            <v>wxG6_96GAqAAwhhH</v>
          </cell>
        </row>
        <row r="40">
          <cell r="A40" t="str">
            <v>37</v>
          </cell>
          <cell r="B40" t="str">
            <v>i3.q_96GAqAAwhW_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B2" sqref="B2"/>
    </sheetView>
  </sheetViews>
  <sheetFormatPr defaultRowHeight="14.5" x14ac:dyDescent="0.35"/>
  <cols>
    <col min="1" max="1" width="13.6328125" bestFit="1" customWidth="1"/>
    <col min="6" max="6" width="29" bestFit="1" customWidth="1"/>
    <col min="7" max="7" width="9.81640625" bestFit="1" customWidth="1"/>
    <col min="8" max="8" width="9.81640625" customWidth="1"/>
    <col min="9" max="9" width="37.6328125" bestFit="1" customWidth="1"/>
    <col min="10" max="10" width="37.6328125" customWidth="1"/>
    <col min="11" max="11" width="11.26953125" bestFit="1" customWidth="1"/>
    <col min="12" max="12" width="10.6328125" bestFit="1" customWidth="1"/>
    <col min="13" max="13" width="10.36328125" bestFit="1" customWidth="1"/>
    <col min="14" max="14" width="10.36328125" customWidth="1"/>
    <col min="15" max="15" width="12.26953125" bestFit="1" customWidth="1"/>
    <col min="16" max="16" width="12.36328125" bestFit="1" customWidth="1"/>
    <col min="17" max="17" width="12.36328125" customWidth="1"/>
    <col min="18" max="19" width="11" bestFit="1" customWidth="1"/>
  </cols>
  <sheetData>
    <row r="1" spans="1:20" x14ac:dyDescent="0.35">
      <c r="A1" s="1" t="s">
        <v>7</v>
      </c>
      <c r="B1" s="1">
        <v>22</v>
      </c>
      <c r="D1" t="s">
        <v>5</v>
      </c>
      <c r="E1" t="s">
        <v>6</v>
      </c>
      <c r="G1" t="s">
        <v>1</v>
      </c>
      <c r="H1" t="s">
        <v>10</v>
      </c>
      <c r="J1" t="s">
        <v>16</v>
      </c>
      <c r="K1" t="s">
        <v>17</v>
      </c>
      <c r="L1" t="s">
        <v>35</v>
      </c>
      <c r="M1" t="s">
        <v>36</v>
      </c>
      <c r="N1" t="s">
        <v>37</v>
      </c>
      <c r="O1" t="s">
        <v>170</v>
      </c>
      <c r="P1" t="s">
        <v>171</v>
      </c>
      <c r="Q1" t="s">
        <v>181</v>
      </c>
      <c r="R1" t="s">
        <v>34</v>
      </c>
      <c r="S1" t="s">
        <v>172</v>
      </c>
      <c r="T1" t="s">
        <v>173</v>
      </c>
    </row>
    <row r="2" spans="1:20" x14ac:dyDescent="0.35">
      <c r="D2">
        <v>1</v>
      </c>
      <c r="E2" t="s">
        <v>0</v>
      </c>
      <c r="F2" t="s">
        <v>20</v>
      </c>
      <c r="G2" t="s">
        <v>10</v>
      </c>
      <c r="H2" t="s">
        <v>15</v>
      </c>
      <c r="I2" t="s">
        <v>2</v>
      </c>
      <c r="J2" s="7" t="s">
        <v>202</v>
      </c>
      <c r="K2" t="str">
        <f>INDEX('[1]System Data'!$A:$A,MATCH(J2,'[1]System Data'!$B:$B,0))</f>
        <v>20</v>
      </c>
      <c r="L2" t="s">
        <v>3</v>
      </c>
      <c r="O2" t="str">
        <f>IF(D2&lt;=$B$1, L2, $B$3)</f>
        <v>No</v>
      </c>
      <c r="P2" t="str">
        <f>IF(ISBLANK(M2), "", IF($D2&lt;=$B$1, M2, $B$4))</f>
        <v/>
      </c>
      <c r="Q2" t="str">
        <f t="shared" ref="Q2:Q4" si="0">IF(ISBLANK(N2), "", IF($D2&lt;=$B$1, N2, $B$4))</f>
        <v/>
      </c>
      <c r="R2" t="str">
        <f>IF(ISBLANK($N2),"",IF(AND($D2&lt;=$B$1,$N2="Yes"),VLOOKUP($K2,Export!$B$2:$AR$29,40,FALSE),$B$5))</f>
        <v/>
      </c>
      <c r="S2" t="str">
        <f>IF(ISBLANK($N2),"",IF(AND($D2&lt;=$B$1,$N2="Yes"),VLOOKUP($K2,Export!$B$2:$AR$29,41,FALSE),$B$6))</f>
        <v/>
      </c>
      <c r="T2" t="str">
        <f>IF(ISBLANK($N2),"",IF(AND($D2&lt;=$B$1,$N2="Yes"),VLOOKUP($K2,Export!$B$2:$AR$29,42,FALSE),$B$7))</f>
        <v/>
      </c>
    </row>
    <row r="3" spans="1:20" x14ac:dyDescent="0.35">
      <c r="A3" s="1" t="s">
        <v>8</v>
      </c>
      <c r="B3" t="s">
        <v>4</v>
      </c>
      <c r="D3">
        <f>$D2+1</f>
        <v>2</v>
      </c>
      <c r="E3" t="s">
        <v>0</v>
      </c>
      <c r="F3" t="s">
        <v>19</v>
      </c>
      <c r="G3" t="s">
        <v>11</v>
      </c>
      <c r="H3" t="s">
        <v>15</v>
      </c>
      <c r="I3" t="s">
        <v>21</v>
      </c>
      <c r="J3" s="7" t="s">
        <v>203</v>
      </c>
      <c r="K3" t="str">
        <f>INDEX('[1]System Data'!$A:$A,MATCH(J3,'[1]System Data'!$B:$B,0))</f>
        <v>22</v>
      </c>
      <c r="L3" t="s">
        <v>3</v>
      </c>
      <c r="O3" t="str">
        <f>IF(D3&lt;=$B$1, L3, $B$3)</f>
        <v>No</v>
      </c>
      <c r="P3" t="str">
        <f t="shared" ref="P3:P6" si="1">IF(ISBLANK(M3), "", IF($D3&lt;=$B$1, M3, $B$4))</f>
        <v/>
      </c>
      <c r="Q3" t="str">
        <f t="shared" si="0"/>
        <v/>
      </c>
      <c r="R3" t="str">
        <f>IF(ISBLANK($N3),"",IF(AND($D3&lt;=$B$1,$N3="Yes"),VLOOKUP($K3,Export!$B$2:$AR$29,40,FALSE),$B$5))</f>
        <v/>
      </c>
      <c r="S3" t="str">
        <f>IF(ISBLANK($N3),"",IF(AND($D3&lt;=$B$1,$N3="Yes"),VLOOKUP($K3,Export!$B$2:$AR$29,41,FALSE),$B$6))</f>
        <v/>
      </c>
      <c r="T3" t="str">
        <f>IF(ISBLANK($N3),"",IF(AND($D3&lt;=$B$1,$N3="Yes"),VLOOKUP($K3,Export!$B$2:$AR$29,42,FALSE),$B$7))</f>
        <v/>
      </c>
    </row>
    <row r="4" spans="1:20" x14ac:dyDescent="0.35">
      <c r="A4" s="1" t="s">
        <v>9</v>
      </c>
      <c r="B4" t="s">
        <v>3</v>
      </c>
      <c r="D4">
        <f>$D3+1</f>
        <v>3</v>
      </c>
      <c r="E4" t="s">
        <v>0</v>
      </c>
      <c r="F4" t="s">
        <v>22</v>
      </c>
      <c r="G4" t="s">
        <v>10</v>
      </c>
      <c r="H4" t="s">
        <v>23</v>
      </c>
      <c r="J4" s="7" t="s">
        <v>204</v>
      </c>
      <c r="K4" t="str">
        <f>INDEX('[1]System Data'!$A:$A,MATCH(J4,'[1]System Data'!$B:$B,0))</f>
        <v>10</v>
      </c>
      <c r="L4" t="s">
        <v>3</v>
      </c>
      <c r="O4" t="str">
        <f>IF(D4&lt;=$B$1, L4, $B$3)</f>
        <v>No</v>
      </c>
      <c r="P4" t="str">
        <f t="shared" si="1"/>
        <v/>
      </c>
      <c r="Q4" t="str">
        <f t="shared" si="0"/>
        <v/>
      </c>
      <c r="R4" t="str">
        <f>IF(ISBLANK($N4),"",IF(AND($D4&lt;=$B$1,$N4="Yes"),VLOOKUP($K4,Export!$B$2:$AR$29,40,FALSE),$B$5))</f>
        <v/>
      </c>
      <c r="S4" t="str">
        <f>IF(ISBLANK($N4),"",IF(AND($D4&lt;=$B$1,$N4="Yes"),VLOOKUP($K4,Export!$B$2:$AR$29,41,FALSE),$B$6))</f>
        <v/>
      </c>
      <c r="T4" t="str">
        <f>IF(ISBLANK($N4),"",IF(AND($D4&lt;=$B$1,$N4="Yes"),VLOOKUP($K4,Export!$B$2:$AR$29,42,FALSE),$B$7))</f>
        <v/>
      </c>
    </row>
    <row r="5" spans="1:20" x14ac:dyDescent="0.35">
      <c r="A5" s="1" t="s">
        <v>167</v>
      </c>
      <c r="B5" t="str">
        <f>""</f>
        <v/>
      </c>
      <c r="D5">
        <f>$D$4</f>
        <v>3</v>
      </c>
      <c r="E5" t="s">
        <v>0</v>
      </c>
      <c r="F5" t="s">
        <v>22</v>
      </c>
      <c r="G5" t="s">
        <v>12</v>
      </c>
      <c r="H5" t="s">
        <v>23</v>
      </c>
      <c r="I5" t="s">
        <v>24</v>
      </c>
      <c r="J5" s="7" t="s">
        <v>205</v>
      </c>
      <c r="K5" t="str">
        <f>INDEX('[1]System Data'!$A:$A,MATCH(J5,'[1]System Data'!$B:$B,0))</f>
        <v>12</v>
      </c>
      <c r="L5" t="s">
        <v>3</v>
      </c>
      <c r="M5" t="s">
        <v>3</v>
      </c>
      <c r="O5" t="str">
        <f t="shared" ref="O5:O6" si="2">IF(D5&lt;=$B$1, L5, $B$3)</f>
        <v>No</v>
      </c>
      <c r="P5" t="str">
        <f t="shared" si="1"/>
        <v>No</v>
      </c>
      <c r="Q5" t="str">
        <f>IF(ISBLANK(N5), "", IF($D5&lt;=$B$1, N5, $B$4))</f>
        <v/>
      </c>
      <c r="R5" t="str">
        <f>IF(ISBLANK($N5),"",IF(AND($D5&lt;=$B$1,$N5="Yes"),VLOOKUP($K5,Export!$B$2:$AR$29,40,FALSE),$B$5))</f>
        <v/>
      </c>
      <c r="S5" t="str">
        <f>IF(ISBLANK($N5),"",IF(AND($D5&lt;=$B$1,$N5="Yes"),VLOOKUP($K5,Export!$B$2:$AR$29,41,FALSE),$B$6))</f>
        <v/>
      </c>
      <c r="T5" t="str">
        <f>IF(ISBLANK($N5),"",IF(AND($D5&lt;=$B$1,$N5="Yes"),VLOOKUP($K5,Export!$B$2:$AR$29,42,FALSE),$B$7))</f>
        <v/>
      </c>
    </row>
    <row r="6" spans="1:20" x14ac:dyDescent="0.35">
      <c r="A6" s="1" t="s">
        <v>168</v>
      </c>
      <c r="B6" s="6" t="s">
        <v>102</v>
      </c>
      <c r="D6">
        <f>$D5+1</f>
        <v>4</v>
      </c>
      <c r="E6" t="s">
        <v>0</v>
      </c>
      <c r="F6" t="s">
        <v>27</v>
      </c>
      <c r="G6" t="s">
        <v>11</v>
      </c>
      <c r="H6" t="s">
        <v>18</v>
      </c>
      <c r="I6" t="s">
        <v>28</v>
      </c>
      <c r="J6" s="7" t="s">
        <v>206</v>
      </c>
      <c r="K6" t="str">
        <f>INDEX('[1]System Data'!$A:$A,MATCH(J6,'[1]System Data'!$B:$B,0))</f>
        <v>14</v>
      </c>
      <c r="L6" t="s">
        <v>3</v>
      </c>
      <c r="O6" t="str">
        <f t="shared" si="2"/>
        <v>No</v>
      </c>
      <c r="P6" t="str">
        <f t="shared" si="1"/>
        <v/>
      </c>
      <c r="Q6" t="str">
        <f t="shared" ref="Q6:Q17" si="3">IF(ISBLANK(N6), "", IF($D6&lt;=$B$1, N6, $B$4))</f>
        <v/>
      </c>
      <c r="R6" t="str">
        <f>IF(ISBLANK($N6),"",IF(AND($D6&lt;=$B$1,$N6="Yes"),VLOOKUP($K6,Export!$B$2:$AR$29,40,FALSE),$B$5))</f>
        <v/>
      </c>
      <c r="S6" t="str">
        <f>IF(ISBLANK($N6),"",IF(AND($D6&lt;=$B$1,$N6="Yes"),VLOOKUP($K6,Export!$B$2:$AR$29,41,FALSE),$B$6))</f>
        <v/>
      </c>
      <c r="T6" t="str">
        <f>IF(ISBLANK($N6),"",IF(AND($D6&lt;=$B$1,$N6="Yes"),VLOOKUP($K6,Export!$B$2:$AR$29,42,FALSE),$B$7))</f>
        <v/>
      </c>
    </row>
    <row r="7" spans="1:20" x14ac:dyDescent="0.35">
      <c r="A7" s="1" t="s">
        <v>169</v>
      </c>
      <c r="B7" s="6" t="s">
        <v>102</v>
      </c>
      <c r="D7">
        <f>$D6+1</f>
        <v>5</v>
      </c>
      <c r="E7" t="s">
        <v>0</v>
      </c>
      <c r="F7" t="s">
        <v>25</v>
      </c>
      <c r="G7" t="s">
        <v>13</v>
      </c>
      <c r="H7" t="s">
        <v>13</v>
      </c>
      <c r="I7" t="s">
        <v>26</v>
      </c>
      <c r="J7" s="2" t="s">
        <v>166</v>
      </c>
      <c r="K7" t="str">
        <f>INDEX('[1]System Data'!$A:$A,MATCH(J7,'[1]System Data'!$B:$B,0))</f>
        <v>35</v>
      </c>
      <c r="L7" t="s">
        <v>3</v>
      </c>
      <c r="N7" t="s">
        <v>4</v>
      </c>
      <c r="O7" t="str">
        <f>IF(D7&lt;=$B$1, L7, $B$3)</f>
        <v>No</v>
      </c>
      <c r="P7" t="str">
        <f>IF(ISBLANK(M7), "", IF($D7&lt;=$B$1, M7, $B$4))</f>
        <v/>
      </c>
      <c r="Q7" t="str">
        <f t="shared" si="3"/>
        <v>Yes</v>
      </c>
      <c r="R7" t="str">
        <f>IF(ISBLANK($N7),"",IF(AND($D7&lt;=$B$1,$N7="Yes"),VLOOKUP($K7,Export!$B$2:$AR$29,40,FALSE),$B$5))</f>
        <v>hogerLager</v>
      </c>
      <c r="S7" t="str">
        <f>IF(ISBLANK($N7),"",IF(AND($D7&lt;=$B$1,$N7="Yes"),VLOOKUP($K7,Export!$B$2:$AR$29,41,FALSE),$B$6))</f>
        <v>0..1</v>
      </c>
      <c r="T7" t="str">
        <f>IF(ISBLANK($N7),"",IF(AND($D7&lt;=$B$1,$N7="Yes"),VLOOKUP($K7,Export!$B$2:$AR$29,42,FALSE),$B$7))</f>
        <v>True</v>
      </c>
    </row>
    <row r="8" spans="1:20" x14ac:dyDescent="0.35">
      <c r="D8">
        <f>$D7+1</f>
        <v>6</v>
      </c>
      <c r="E8" t="s">
        <v>0</v>
      </c>
      <c r="F8" t="s">
        <v>29</v>
      </c>
      <c r="G8" t="s">
        <v>10</v>
      </c>
      <c r="H8" t="s">
        <v>30</v>
      </c>
      <c r="J8" s="7" t="s">
        <v>207</v>
      </c>
      <c r="K8" t="str">
        <f>INDEX('[1]System Data'!$A:$A,MATCH(J8,'[1]System Data'!$B:$B,0))</f>
        <v>3</v>
      </c>
      <c r="L8" t="s">
        <v>3</v>
      </c>
      <c r="O8" t="str">
        <f t="shared" ref="O8" si="4">IF(D8&lt;=$B$1, L8, $B$3)</f>
        <v>No</v>
      </c>
      <c r="P8" t="str">
        <f t="shared" ref="P8:P11" si="5">IF(ISBLANK(M8), "", IF($D8&lt;=$B$1, M8, $B$4))</f>
        <v/>
      </c>
      <c r="Q8" t="str">
        <f t="shared" si="3"/>
        <v/>
      </c>
      <c r="R8" t="str">
        <f>IF(ISBLANK($N8),"",IF(AND($D8&lt;=$B$1,$N8="Yes"),VLOOKUP($K8,Export!$B$2:$AR$29,40,FALSE),$B$5))</f>
        <v/>
      </c>
      <c r="S8" t="str">
        <f>IF(ISBLANK($N8),"",IF(AND($D8&lt;=$B$1,$N8="Yes"),VLOOKUP($K8,Export!$B$2:$AR$29,41,FALSE),$B$6))</f>
        <v/>
      </c>
      <c r="T8" t="str">
        <f>IF(ISBLANK($N8),"",IF(AND($D8&lt;=$B$1,$N8="Yes"),VLOOKUP($K8,Export!$B$2:$AR$29,42,FALSE),$B$7))</f>
        <v/>
      </c>
    </row>
    <row r="9" spans="1:20" x14ac:dyDescent="0.35">
      <c r="D9">
        <f t="shared" ref="D9:D21" si="6">$D8</f>
        <v>6</v>
      </c>
      <c r="E9" t="s">
        <v>0</v>
      </c>
      <c r="F9" t="s">
        <v>29</v>
      </c>
      <c r="G9" t="s">
        <v>12</v>
      </c>
      <c r="H9" t="s">
        <v>30</v>
      </c>
      <c r="I9" t="s">
        <v>32</v>
      </c>
      <c r="J9" s="7" t="s">
        <v>208</v>
      </c>
      <c r="K9" t="str">
        <f>INDEX('[1]System Data'!$A:$A,MATCH(J9,'[1]System Data'!$B:$B,0))</f>
        <v>5</v>
      </c>
      <c r="L9" t="s">
        <v>3</v>
      </c>
      <c r="M9" t="s">
        <v>3</v>
      </c>
      <c r="O9" t="str">
        <f t="shared" ref="O9" si="7">IF(D9&lt;=$B$1, L9, $B$3)</f>
        <v>No</v>
      </c>
      <c r="P9" t="str">
        <f t="shared" si="5"/>
        <v>No</v>
      </c>
      <c r="Q9" t="str">
        <f t="shared" si="3"/>
        <v/>
      </c>
      <c r="R9" t="str">
        <f>IF(ISBLANK($N9),"",IF(AND($D9&lt;=$B$1,$N9="Yes"),VLOOKUP($K9,Export!$B$2:$AR$29,40,FALSE),$B$5))</f>
        <v/>
      </c>
      <c r="S9" t="str">
        <f>IF(ISBLANK($N9),"",IF(AND($D9&lt;=$B$1,$N9="Yes"),VLOOKUP($K9,Export!$B$2:$AR$29,41,FALSE),$B$6))</f>
        <v/>
      </c>
      <c r="T9" t="str">
        <f>IF(ISBLANK($N9),"",IF(AND($D9&lt;=$B$1,$N9="Yes"),VLOOKUP($K9,Export!$B$2:$AR$29,42,FALSE),$B$7))</f>
        <v/>
      </c>
    </row>
    <row r="10" spans="1:20" x14ac:dyDescent="0.35">
      <c r="D10">
        <f t="shared" ref="D10" si="8">$D9</f>
        <v>6</v>
      </c>
      <c r="E10" t="s">
        <v>0</v>
      </c>
      <c r="F10" t="s">
        <v>29</v>
      </c>
      <c r="G10" t="s">
        <v>12</v>
      </c>
      <c r="H10" t="s">
        <v>30</v>
      </c>
      <c r="I10" t="s">
        <v>33</v>
      </c>
      <c r="J10" s="7" t="s">
        <v>209</v>
      </c>
      <c r="K10" t="str">
        <f>INDEX('[1]System Data'!$A:$A,MATCH(J10,'[1]System Data'!$B:$B,0))</f>
        <v>6</v>
      </c>
      <c r="L10" t="s">
        <v>3</v>
      </c>
      <c r="M10" t="s">
        <v>3</v>
      </c>
      <c r="O10" t="str">
        <f t="shared" ref="O10:O11" si="9">IF(D10&lt;=$B$1, L10, $B$3)</f>
        <v>No</v>
      </c>
      <c r="P10" t="str">
        <f t="shared" si="5"/>
        <v>No</v>
      </c>
      <c r="Q10" t="str">
        <f t="shared" si="3"/>
        <v/>
      </c>
      <c r="R10" t="str">
        <f>IF(ISBLANK($N10),"",IF(AND($D10&lt;=$B$1,$N10="Yes"),VLOOKUP($K10,Export!$B$2:$AR$29,40,FALSE),$B$5))</f>
        <v/>
      </c>
      <c r="S10" t="str">
        <f>IF(ISBLANK($N10),"",IF(AND($D10&lt;=$B$1,$N10="Yes"),VLOOKUP($K10,Export!$B$2:$AR$29,41,FALSE),$B$6))</f>
        <v/>
      </c>
      <c r="T10" t="str">
        <f>IF(ISBLANK($N10),"",IF(AND($D10&lt;=$B$1,$N10="Yes"),VLOOKUP($K10,Export!$B$2:$AR$29,42,FALSE),$B$7))</f>
        <v/>
      </c>
    </row>
    <row r="11" spans="1:20" x14ac:dyDescent="0.35">
      <c r="D11">
        <f t="shared" si="6"/>
        <v>6</v>
      </c>
      <c r="E11" t="s">
        <v>0</v>
      </c>
      <c r="F11" t="s">
        <v>29</v>
      </c>
      <c r="G11" t="s">
        <v>13</v>
      </c>
      <c r="H11" t="s">
        <v>13</v>
      </c>
      <c r="I11" t="s">
        <v>162</v>
      </c>
      <c r="J11" s="2" t="s">
        <v>163</v>
      </c>
      <c r="K11" t="str">
        <f>INDEX('[1]System Data'!$A:$A,MATCH(J11,'[1]System Data'!$B:$B,0))</f>
        <v>30</v>
      </c>
      <c r="L11" t="s">
        <v>3</v>
      </c>
      <c r="N11" t="s">
        <v>3</v>
      </c>
      <c r="O11" t="str">
        <f t="shared" si="9"/>
        <v>No</v>
      </c>
      <c r="P11" t="str">
        <f t="shared" si="5"/>
        <v/>
      </c>
      <c r="Q11" t="str">
        <f t="shared" si="3"/>
        <v>No</v>
      </c>
      <c r="R11" t="str">
        <f>IF(ISBLANK($N11),"",IF(AND($D11&lt;=$B$1,$N11="Yes"),VLOOKUP($K11,Export!$B$2:$AR$29,40,FALSE),$B$5))</f>
        <v/>
      </c>
      <c r="S11" t="str">
        <f>IF(ISBLANK($N11),"",IF(AND($D11&lt;=$B$1,$N11="Yes"),VLOOKUP($K11,Export!$B$2:$AR$29,41,FALSE),$B$6))</f>
        <v>Unspecified</v>
      </c>
      <c r="T11" t="str">
        <f>IF(ISBLANK($N11),"",IF(AND($D11&lt;=$B$1,$N11="Yes"),VLOOKUP($K11,Export!$B$2:$AR$29,42,FALSE),$B$7))</f>
        <v>Unspecified</v>
      </c>
    </row>
    <row r="12" spans="1:20" x14ac:dyDescent="0.35">
      <c r="D12">
        <f t="shared" si="6"/>
        <v>6</v>
      </c>
      <c r="E12" t="s">
        <v>0</v>
      </c>
      <c r="F12" t="s">
        <v>29</v>
      </c>
      <c r="G12" t="s">
        <v>13</v>
      </c>
      <c r="H12" t="s">
        <v>13</v>
      </c>
      <c r="I12" t="s">
        <v>164</v>
      </c>
      <c r="J12" s="2" t="s">
        <v>165</v>
      </c>
      <c r="K12" t="str">
        <f>INDEX('[1]System Data'!$A:$A,MATCH(J12,'[1]System Data'!$B:$B,0))</f>
        <v>33</v>
      </c>
      <c r="L12" t="s">
        <v>3</v>
      </c>
      <c r="N12" t="s">
        <v>3</v>
      </c>
      <c r="O12" t="str">
        <f t="shared" ref="O12:O13" si="10">IF(D12&lt;=$B$1, L12, $B$3)</f>
        <v>No</v>
      </c>
      <c r="P12" t="str">
        <f t="shared" ref="P12:P13" si="11">IF(ISBLANK(M12), "", IF($D12&lt;=$B$1, M12, $B$4))</f>
        <v/>
      </c>
      <c r="Q12" t="str">
        <f t="shared" si="3"/>
        <v>No</v>
      </c>
      <c r="R12" t="str">
        <f>IF(ISBLANK($N12),"",IF(AND($D12&lt;=$B$1,$N12="Yes"),VLOOKUP($K12,Export!$B$2:$AR$29,40,FALSE),$B$5))</f>
        <v/>
      </c>
      <c r="S12" t="str">
        <f>IF(ISBLANK($N12),"",IF(AND($D12&lt;=$B$1,$N12="Yes"),VLOOKUP($K12,Export!$B$2:$AR$29,41,FALSE),$B$6))</f>
        <v>Unspecified</v>
      </c>
      <c r="T12" t="str">
        <f>IF(ISBLANK($N12),"",IF(AND($D12&lt;=$B$1,$N12="Yes"),VLOOKUP($K12,Export!$B$2:$AR$29,42,FALSE),$B$7))</f>
        <v>Unspecified</v>
      </c>
    </row>
    <row r="13" spans="1:20" x14ac:dyDescent="0.35">
      <c r="D13">
        <f>$D12+1</f>
        <v>7</v>
      </c>
      <c r="E13" t="s">
        <v>0</v>
      </c>
      <c r="F13" t="s">
        <v>174</v>
      </c>
      <c r="G13" t="s">
        <v>10</v>
      </c>
      <c r="H13" t="s">
        <v>30</v>
      </c>
      <c r="I13" t="s">
        <v>175</v>
      </c>
      <c r="J13" s="7" t="s">
        <v>210</v>
      </c>
      <c r="K13" t="str">
        <f>INDEX('[1]System Data'!$A:$A,MATCH(J13,'[1]System Data'!$B:$B,0))</f>
        <v>7</v>
      </c>
      <c r="L13" t="s">
        <v>3</v>
      </c>
      <c r="O13" t="str">
        <f t="shared" si="10"/>
        <v>No</v>
      </c>
      <c r="P13" t="str">
        <f t="shared" si="11"/>
        <v/>
      </c>
      <c r="Q13" t="str">
        <f t="shared" si="3"/>
        <v/>
      </c>
      <c r="R13" t="str">
        <f>IF(ISBLANK($N13),"",IF(AND($D13&lt;=$B$1,$N13="Yes"),VLOOKUP($K13,Export!$B$2:$AR$29,40,FALSE),$B$5))</f>
        <v/>
      </c>
      <c r="S13" t="str">
        <f>IF(ISBLANK($N13),"",IF(AND($D13&lt;=$B$1,$N13="Yes"),VLOOKUP($K13,Export!$B$2:$AR$29,41,FALSE),$B$6))</f>
        <v/>
      </c>
      <c r="T13" t="str">
        <f>IF(ISBLANK($N13),"",IF(AND($D13&lt;=$B$1,$N13="Yes"),VLOOKUP($K13,Export!$B$2:$AR$29,42,FALSE),$B$7))</f>
        <v/>
      </c>
    </row>
    <row r="14" spans="1:20" x14ac:dyDescent="0.35">
      <c r="D14">
        <f t="shared" si="6"/>
        <v>7</v>
      </c>
      <c r="E14" t="s">
        <v>0</v>
      </c>
      <c r="G14" t="s">
        <v>14</v>
      </c>
      <c r="H14" t="s">
        <v>30</v>
      </c>
      <c r="I14" t="s">
        <v>176</v>
      </c>
      <c r="J14" s="7" t="s">
        <v>211</v>
      </c>
      <c r="K14" t="str">
        <f>INDEX('[1]System Data'!$A:$A,MATCH(J14,'[1]System Data'!$B:$B,0))</f>
        <v>8</v>
      </c>
      <c r="L14" t="s">
        <v>3</v>
      </c>
      <c r="O14" t="str">
        <f t="shared" ref="O14:O31" si="12">IF(D14&lt;=$B$1, L14, $B$3)</f>
        <v>No</v>
      </c>
      <c r="P14" t="str">
        <f t="shared" ref="P14:P31" si="13">IF(ISBLANK(M14), "", IF($D14&lt;=$B$1, M14, $B$4))</f>
        <v/>
      </c>
      <c r="Q14" t="str">
        <f t="shared" si="3"/>
        <v/>
      </c>
      <c r="R14" t="str">
        <f>IF(ISBLANK($N14),"",IF(AND($D14&lt;=$B$1,$N14="Yes"),VLOOKUP($K14,Export!$B$2:$AR$29,40,FALSE),$B$5))</f>
        <v/>
      </c>
      <c r="S14" t="str">
        <f>IF(ISBLANK($N14),"",IF(AND($D14&lt;=$B$1,$N14="Yes"),VLOOKUP($K14,Export!$B$2:$AR$29,41,FALSE),$B$6))</f>
        <v/>
      </c>
      <c r="T14" t="str">
        <f>IF(ISBLANK($N14),"",IF(AND($D14&lt;=$B$1,$N14="Yes"),VLOOKUP($K14,Export!$B$2:$AR$29,42,FALSE),$B$7))</f>
        <v/>
      </c>
    </row>
    <row r="15" spans="1:20" x14ac:dyDescent="0.35">
      <c r="D15">
        <f t="shared" si="6"/>
        <v>7</v>
      </c>
      <c r="E15" t="s">
        <v>0</v>
      </c>
      <c r="G15" t="s">
        <v>14</v>
      </c>
      <c r="H15" t="s">
        <v>30</v>
      </c>
      <c r="I15" t="s">
        <v>177</v>
      </c>
      <c r="J15" s="7" t="s">
        <v>212</v>
      </c>
      <c r="K15" t="str">
        <f>INDEX('[1]System Data'!$A:$A,MATCH(J15,'[1]System Data'!$B:$B,0))</f>
        <v>9</v>
      </c>
      <c r="L15" t="s">
        <v>3</v>
      </c>
      <c r="O15" t="str">
        <f t="shared" si="12"/>
        <v>No</v>
      </c>
      <c r="P15" t="str">
        <f t="shared" si="13"/>
        <v/>
      </c>
      <c r="Q15" t="str">
        <f t="shared" si="3"/>
        <v/>
      </c>
      <c r="R15" t="str">
        <f>IF(ISBLANK($N15),"",IF(AND($D15&lt;=$B$1,$N15="Yes"),VLOOKUP($K15,Export!$B$2:$AR$29,40,FALSE),$B$5))</f>
        <v/>
      </c>
      <c r="S15" t="str">
        <f>IF(ISBLANK($N15),"",IF(AND($D15&lt;=$B$1,$N15="Yes"),VLOOKUP($K15,Export!$B$2:$AR$29,41,FALSE),$B$6))</f>
        <v/>
      </c>
      <c r="T15" t="str">
        <f>IF(ISBLANK($N15),"",IF(AND($D15&lt;=$B$1,$N15="Yes"),VLOOKUP($K15,Export!$B$2:$AR$29,42,FALSE),$B$7))</f>
        <v/>
      </c>
    </row>
    <row r="16" spans="1:20" x14ac:dyDescent="0.35">
      <c r="D16">
        <f>$D15+1</f>
        <v>8</v>
      </c>
      <c r="E16" t="s">
        <v>0</v>
      </c>
      <c r="F16" t="s">
        <v>178</v>
      </c>
      <c r="G16" t="s">
        <v>13</v>
      </c>
      <c r="H16" t="s">
        <v>13</v>
      </c>
      <c r="I16" t="s">
        <v>179</v>
      </c>
      <c r="J16" s="2" t="s">
        <v>163</v>
      </c>
      <c r="K16" t="str">
        <f>INDEX('[1]System Data'!$A:$A,MATCH(J16,'[1]System Data'!$B:$B,0))</f>
        <v>30</v>
      </c>
      <c r="L16" t="s">
        <v>3</v>
      </c>
      <c r="N16" t="s">
        <v>4</v>
      </c>
      <c r="O16" t="str">
        <f t="shared" si="12"/>
        <v>No</v>
      </c>
      <c r="P16" t="str">
        <f t="shared" si="13"/>
        <v/>
      </c>
      <c r="Q16" t="str">
        <f t="shared" si="3"/>
        <v>Yes</v>
      </c>
      <c r="R16" t="str">
        <f>IF(ISBLANK($N16),"",IF(AND($D16&lt;=$B$1,$N16="Yes"),VLOOKUP($K16,Export!$B$2:$AR$29,40,FALSE),$B$5))</f>
        <v>huidigeKaart</v>
      </c>
      <c r="S16" t="str">
        <f>IF(ISBLANK($N16),"",IF(AND($D16&lt;=$B$1,$N16="Yes"),VLOOKUP($K16,Export!$B$2:$AR$29,41,FALSE),$B$6))</f>
        <v>1</v>
      </c>
      <c r="T16" t="str">
        <f>IF(ISBLANK($N16),"",IF(AND($D16&lt;=$B$1,$N16="Yes"),VLOOKUP($K16,Export!$B$2:$AR$29,42,FALSE),$B$7))</f>
        <v>True</v>
      </c>
    </row>
    <row r="17" spans="4:20" x14ac:dyDescent="0.35">
      <c r="D17">
        <f t="shared" si="6"/>
        <v>8</v>
      </c>
      <c r="E17" t="s">
        <v>0</v>
      </c>
      <c r="G17" t="s">
        <v>13</v>
      </c>
      <c r="H17" t="s">
        <v>13</v>
      </c>
      <c r="I17" t="s">
        <v>180</v>
      </c>
      <c r="J17" s="2" t="s">
        <v>165</v>
      </c>
      <c r="K17" t="str">
        <f>INDEX('[1]System Data'!$A:$A,MATCH(J17,'[1]System Data'!$B:$B,0))</f>
        <v>33</v>
      </c>
      <c r="L17" t="s">
        <v>3</v>
      </c>
      <c r="N17" t="s">
        <v>4</v>
      </c>
      <c r="O17" t="str">
        <f t="shared" si="12"/>
        <v>No</v>
      </c>
      <c r="P17" t="str">
        <f t="shared" si="13"/>
        <v/>
      </c>
      <c r="Q17" t="str">
        <f t="shared" si="3"/>
        <v>Yes</v>
      </c>
      <c r="R17" t="str">
        <f>IF(ISBLANK($N17),"",IF(AND($D17&lt;=$B$1,$N17="Yes"),VLOOKUP($K17,Export!$B$2:$AR$29,40,FALSE),$B$5))</f>
        <v>trekstapel</v>
      </c>
      <c r="S17" t="str">
        <f>IF(ISBLANK($N17),"",IF(AND($D17&lt;=$B$1,$N17="Yes"),VLOOKUP($K17,Export!$B$2:$AR$29,41,FALSE),$B$6))</f>
        <v>0..52</v>
      </c>
      <c r="T17" t="str">
        <f>IF(ISBLANK($N17),"",IF(AND($D17&lt;=$B$1,$N17="Yes"),VLOOKUP($K17,Export!$B$2:$AR$29,42,FALSE),$B$7))</f>
        <v>True</v>
      </c>
    </row>
    <row r="18" spans="4:20" x14ac:dyDescent="0.35">
      <c r="D18">
        <f>$D17+1</f>
        <v>9</v>
      </c>
      <c r="E18" t="s">
        <v>0</v>
      </c>
      <c r="F18" t="s">
        <v>182</v>
      </c>
      <c r="G18" t="s">
        <v>11</v>
      </c>
      <c r="H18" t="s">
        <v>15</v>
      </c>
      <c r="I18" t="s">
        <v>138</v>
      </c>
      <c r="J18" s="7" t="s">
        <v>213</v>
      </c>
      <c r="K18" t="str">
        <f>INDEX('[1]System Data'!$A:$A,MATCH(J18,'[1]System Data'!$B:$B,0))</f>
        <v>23</v>
      </c>
      <c r="L18" t="s">
        <v>3</v>
      </c>
      <c r="O18" t="str">
        <f t="shared" si="12"/>
        <v>No</v>
      </c>
      <c r="P18" t="str">
        <f t="shared" si="13"/>
        <v/>
      </c>
      <c r="R18" t="str">
        <f>IF(ISBLANK($N18),"",IF(AND($D18&lt;=$B$1,$N18="Yes"),VLOOKUP($K18,Export!$B$2:$AR$29,40,FALSE),$B$5))</f>
        <v/>
      </c>
      <c r="S18" t="str">
        <f>IF(ISBLANK($N18),"",IF(AND($D18&lt;=$B$1,$N18="Yes"),VLOOKUP($K18,Export!$B$2:$AR$29,41,FALSE),$B$6))</f>
        <v/>
      </c>
      <c r="T18" t="str">
        <f>IF(ISBLANK($N18),"",IF(AND($D18&lt;=$B$1,$N18="Yes"),VLOOKUP($K18,Export!$B$2:$AR$29,42,FALSE),$B$7))</f>
        <v/>
      </c>
    </row>
    <row r="19" spans="4:20" x14ac:dyDescent="0.35">
      <c r="D19">
        <f>$D18+1</f>
        <v>10</v>
      </c>
      <c r="E19" t="s">
        <v>0</v>
      </c>
      <c r="F19" t="s">
        <v>183</v>
      </c>
      <c r="G19" t="s">
        <v>11</v>
      </c>
      <c r="H19" t="s">
        <v>23</v>
      </c>
      <c r="I19" t="s">
        <v>122</v>
      </c>
      <c r="J19" s="7" t="s">
        <v>214</v>
      </c>
      <c r="K19" t="str">
        <f>INDEX('[1]System Data'!$A:$A,MATCH(J19,'[1]System Data'!$B:$B,0))</f>
        <v>15</v>
      </c>
      <c r="L19" t="s">
        <v>3</v>
      </c>
      <c r="O19" t="str">
        <f t="shared" si="12"/>
        <v>No</v>
      </c>
      <c r="P19" t="str">
        <f t="shared" si="13"/>
        <v/>
      </c>
      <c r="R19" t="str">
        <f>IF(ISBLANK($N19),"",IF(AND($D19&lt;=$B$1,$N19="Yes"),VLOOKUP($K19,Export!$B$2:$AR$29,40,FALSE),$B$5))</f>
        <v/>
      </c>
      <c r="S19" t="str">
        <f>IF(ISBLANK($N19),"",IF(AND($D19&lt;=$B$1,$N19="Yes"),VLOOKUP($K19,Export!$B$2:$AR$29,41,FALSE),$B$6))</f>
        <v/>
      </c>
      <c r="T19" t="str">
        <f>IF(ISBLANK($N19),"",IF(AND($D19&lt;=$B$1,$N19="Yes"),VLOOKUP($K19,Export!$B$2:$AR$29,42,FALSE),$B$7))</f>
        <v/>
      </c>
    </row>
    <row r="20" spans="4:20" x14ac:dyDescent="0.35">
      <c r="D20">
        <f>$D19+1</f>
        <v>11</v>
      </c>
      <c r="E20" t="s">
        <v>0</v>
      </c>
      <c r="F20" t="s">
        <v>184</v>
      </c>
      <c r="G20" t="s">
        <v>12</v>
      </c>
      <c r="H20" t="s">
        <v>30</v>
      </c>
      <c r="I20" t="s">
        <v>185</v>
      </c>
      <c r="J20" s="7" t="s">
        <v>208</v>
      </c>
      <c r="K20" t="str">
        <f>INDEX('[1]System Data'!$A:$A,MATCH(J20,'[1]System Data'!$B:$B,0))</f>
        <v>5</v>
      </c>
      <c r="L20" t="s">
        <v>3</v>
      </c>
      <c r="M20" t="s">
        <v>4</v>
      </c>
      <c r="O20" t="str">
        <f t="shared" si="12"/>
        <v>No</v>
      </c>
      <c r="P20" t="str">
        <f t="shared" si="13"/>
        <v>Yes</v>
      </c>
      <c r="R20" t="str">
        <f>IF(ISBLANK($N20),"",IF(AND($D20&lt;=$B$1,$N20="Yes"),VLOOKUP($K20,Export!$B$2:$AR$29,40,FALSE),$B$5))</f>
        <v/>
      </c>
      <c r="S20" t="str">
        <f>IF(ISBLANK($N20),"",IF(AND($D20&lt;=$B$1,$N20="Yes"),VLOOKUP($K20,Export!$B$2:$AR$29,41,FALSE),$B$6))</f>
        <v/>
      </c>
      <c r="T20" t="str">
        <f>IF(ISBLANK($N20),"",IF(AND($D20&lt;=$B$1,$N20="Yes"),VLOOKUP($K20,Export!$B$2:$AR$29,42,FALSE),$B$7))</f>
        <v/>
      </c>
    </row>
    <row r="21" spans="4:20" x14ac:dyDescent="0.35">
      <c r="D21">
        <f t="shared" si="6"/>
        <v>11</v>
      </c>
      <c r="E21" t="s">
        <v>0</v>
      </c>
      <c r="F21" t="s">
        <v>184</v>
      </c>
      <c r="G21" t="s">
        <v>12</v>
      </c>
      <c r="H21" t="s">
        <v>30</v>
      </c>
      <c r="I21" t="s">
        <v>186</v>
      </c>
      <c r="J21" s="7" t="s">
        <v>209</v>
      </c>
      <c r="K21" t="str">
        <f>INDEX('[1]System Data'!$A:$A,MATCH(J21,'[1]System Data'!$B:$B,0))</f>
        <v>6</v>
      </c>
      <c r="L21" t="s">
        <v>3</v>
      </c>
      <c r="M21" t="s">
        <v>4</v>
      </c>
      <c r="O21" t="str">
        <f t="shared" si="12"/>
        <v>No</v>
      </c>
      <c r="P21" t="str">
        <f t="shared" si="13"/>
        <v>Yes</v>
      </c>
      <c r="R21" t="str">
        <f>IF(ISBLANK($N21),"",IF(AND($D21&lt;=$B$1,$N21="Yes"),VLOOKUP($K21,Export!$B$2:$AR$29,40,FALSE),$B$5))</f>
        <v/>
      </c>
      <c r="S21" t="str">
        <f>IF(ISBLANK($N21),"",IF(AND($D21&lt;=$B$1,$N21="Yes"),VLOOKUP($K21,Export!$B$2:$AR$29,41,FALSE),$B$6))</f>
        <v/>
      </c>
      <c r="T21" t="str">
        <f>IF(ISBLANK($N21),"",IF(AND($D21&lt;=$B$1,$N21="Yes"),VLOOKUP($K21,Export!$B$2:$AR$29,42,FALSE),$B$7))</f>
        <v/>
      </c>
    </row>
    <row r="22" spans="4:20" x14ac:dyDescent="0.35">
      <c r="D22">
        <f>$D21+1</f>
        <v>12</v>
      </c>
      <c r="E22" t="s">
        <v>0</v>
      </c>
      <c r="F22" t="s">
        <v>187</v>
      </c>
      <c r="G22" t="s">
        <v>11</v>
      </c>
      <c r="H22" t="s">
        <v>15</v>
      </c>
      <c r="I22" t="s">
        <v>125</v>
      </c>
      <c r="J22" s="7" t="s">
        <v>215</v>
      </c>
      <c r="K22" t="str">
        <f>INDEX('[1]System Data'!$A:$A,MATCH(J22,'[1]System Data'!$B:$B,0))</f>
        <v>24</v>
      </c>
      <c r="L22" t="s">
        <v>3</v>
      </c>
      <c r="O22" t="str">
        <f t="shared" si="12"/>
        <v>No</v>
      </c>
      <c r="P22" t="str">
        <f t="shared" si="13"/>
        <v/>
      </c>
      <c r="R22" t="str">
        <f>IF(ISBLANK($N22),"",IF(AND($D22&lt;=$B$1,$N22="Yes"),VLOOKUP($K22,Export!$B$2:$AR$29,40,FALSE),$B$5))</f>
        <v/>
      </c>
      <c r="S22" t="str">
        <f>IF(ISBLANK($N22),"",IF(AND($D22&lt;=$B$1,$N22="Yes"),VLOOKUP($K22,Export!$B$2:$AR$29,41,FALSE),$B$6))</f>
        <v/>
      </c>
      <c r="T22" t="str">
        <f>IF(ISBLANK($N22),"",IF(AND($D22&lt;=$B$1,$N22="Yes"),VLOOKUP($K22,Export!$B$2:$AR$29,42,FALSE),$B$7))</f>
        <v/>
      </c>
    </row>
    <row r="23" spans="4:20" x14ac:dyDescent="0.35">
      <c r="D23">
        <f t="shared" ref="D23:D25" si="14">$D22</f>
        <v>12</v>
      </c>
      <c r="E23" t="s">
        <v>0</v>
      </c>
      <c r="F23" t="s">
        <v>187</v>
      </c>
      <c r="G23" t="s">
        <v>14</v>
      </c>
      <c r="H23" t="s">
        <v>15</v>
      </c>
      <c r="I23" t="s">
        <v>188</v>
      </c>
      <c r="J23" s="7" t="s">
        <v>216</v>
      </c>
      <c r="K23" t="str">
        <f>INDEX('[1]System Data'!$A:$A,MATCH(J23,'[1]System Data'!$B:$B,0))</f>
        <v>25</v>
      </c>
      <c r="L23" t="s">
        <v>3</v>
      </c>
      <c r="O23" t="str">
        <f t="shared" si="12"/>
        <v>No</v>
      </c>
      <c r="P23" t="str">
        <f t="shared" si="13"/>
        <v/>
      </c>
      <c r="R23" t="str">
        <f>IF(ISBLANK($N23),"",IF(AND($D23&lt;=$B$1,$N23="Yes"),VLOOKUP($K23,Export!$B$2:$AR$29,40,FALSE),$B$5))</f>
        <v/>
      </c>
      <c r="S23" t="str">
        <f>IF(ISBLANK($N23),"",IF(AND($D23&lt;=$B$1,$N23="Yes"),VLOOKUP($K23,Export!$B$2:$AR$29,41,FALSE),$B$6))</f>
        <v/>
      </c>
      <c r="T23" t="str">
        <f>IF(ISBLANK($N23),"",IF(AND($D23&lt;=$B$1,$N23="Yes"),VLOOKUP($K23,Export!$B$2:$AR$29,42,FALSE),$B$7))</f>
        <v/>
      </c>
    </row>
    <row r="24" spans="4:20" x14ac:dyDescent="0.35">
      <c r="D24">
        <f>$D23+1</f>
        <v>13</v>
      </c>
      <c r="E24" t="s">
        <v>0</v>
      </c>
      <c r="F24" t="s">
        <v>189</v>
      </c>
      <c r="G24" t="s">
        <v>11</v>
      </c>
      <c r="H24" t="s">
        <v>23</v>
      </c>
      <c r="I24" t="s">
        <v>125</v>
      </c>
      <c r="J24" s="7" t="s">
        <v>217</v>
      </c>
      <c r="K24" t="str">
        <f>INDEX('[1]System Data'!$A:$A,MATCH(J24,'[1]System Data'!$B:$B,0))</f>
        <v>16</v>
      </c>
      <c r="L24" t="s">
        <v>3</v>
      </c>
      <c r="O24" t="str">
        <f t="shared" si="12"/>
        <v>No</v>
      </c>
      <c r="P24" t="str">
        <f t="shared" si="13"/>
        <v/>
      </c>
      <c r="R24" t="str">
        <f>IF(ISBLANK($N24),"",IF(AND($D24&lt;=$B$1,$N24="Yes"),VLOOKUP($K24,Export!$B$2:$AR$29,40,FALSE),$B$5))</f>
        <v/>
      </c>
      <c r="S24" t="str">
        <f>IF(ISBLANK($N24),"",IF(AND($D24&lt;=$B$1,$N24="Yes"),VLOOKUP($K24,Export!$B$2:$AR$29,41,FALSE),$B$6))</f>
        <v/>
      </c>
      <c r="T24" t="str">
        <f>IF(ISBLANK($N24),"",IF(AND($D24&lt;=$B$1,$N24="Yes"),VLOOKUP($K24,Export!$B$2:$AR$29,42,FALSE),$B$7))</f>
        <v/>
      </c>
    </row>
    <row r="25" spans="4:20" x14ac:dyDescent="0.35">
      <c r="D25">
        <f t="shared" si="14"/>
        <v>13</v>
      </c>
      <c r="E25" t="s">
        <v>0</v>
      </c>
      <c r="F25" t="s">
        <v>189</v>
      </c>
      <c r="G25" t="s">
        <v>14</v>
      </c>
      <c r="H25" t="s">
        <v>23</v>
      </c>
      <c r="I25" t="s">
        <v>188</v>
      </c>
      <c r="J25" s="7" t="s">
        <v>218</v>
      </c>
      <c r="K25" t="str">
        <f>INDEX('[1]System Data'!$A:$A,MATCH(J25,'[1]System Data'!$B:$B,0))</f>
        <v>17</v>
      </c>
      <c r="L25" t="s">
        <v>3</v>
      </c>
      <c r="O25" t="str">
        <f t="shared" si="12"/>
        <v>No</v>
      </c>
      <c r="P25" t="str">
        <f t="shared" si="13"/>
        <v/>
      </c>
      <c r="R25" t="str">
        <f>IF(ISBLANK($N25),"",IF(AND($D25&lt;=$B$1,$N25="Yes"),VLOOKUP($K25,Export!$B$2:$AR$29,40,FALSE),$B$5))</f>
        <v/>
      </c>
      <c r="S25" t="str">
        <f>IF(ISBLANK($N25),"",IF(AND($D25&lt;=$B$1,$N25="Yes"),VLOOKUP($K25,Export!$B$2:$AR$29,41,FALSE),$B$6))</f>
        <v/>
      </c>
      <c r="T25" t="str">
        <f>IF(ISBLANK($N25),"",IF(AND($D25&lt;=$B$1,$N25="Yes"),VLOOKUP($K25,Export!$B$2:$AR$29,42,FALSE),$B$7))</f>
        <v/>
      </c>
    </row>
    <row r="26" spans="4:20" x14ac:dyDescent="0.35">
      <c r="D26">
        <f>$D25+1</f>
        <v>14</v>
      </c>
      <c r="E26" t="s">
        <v>0</v>
      </c>
      <c r="F26" t="s">
        <v>190</v>
      </c>
      <c r="G26" t="s">
        <v>12</v>
      </c>
      <c r="H26" t="s">
        <v>23</v>
      </c>
      <c r="I26" t="s">
        <v>191</v>
      </c>
      <c r="J26" s="7" t="s">
        <v>219</v>
      </c>
      <c r="K26" t="str">
        <f>INDEX('[1]System Data'!$A:$A,MATCH(J26,'[1]System Data'!$B:$B,0))</f>
        <v>13</v>
      </c>
      <c r="L26" t="s">
        <v>3</v>
      </c>
      <c r="M26" t="s">
        <v>3</v>
      </c>
      <c r="O26" t="str">
        <f t="shared" si="12"/>
        <v>No</v>
      </c>
      <c r="P26" t="str">
        <f t="shared" si="13"/>
        <v>No</v>
      </c>
      <c r="R26" t="str">
        <f>IF(ISBLANK($N26),"",IF(AND($D26&lt;=$B$1,$N26="Yes"),VLOOKUP($K26,Export!$B$2:$AR$29,40,FALSE),$B$5))</f>
        <v/>
      </c>
      <c r="S26" t="str">
        <f>IF(ISBLANK($N26),"",IF(AND($D26&lt;=$B$1,$N26="Yes"),VLOOKUP($K26,Export!$B$2:$AR$29,41,FALSE),$B$6))</f>
        <v/>
      </c>
      <c r="T26" t="str">
        <f>IF(ISBLANK($N26),"",IF(AND($D26&lt;=$B$1,$N26="Yes"),VLOOKUP($K26,Export!$B$2:$AR$29,42,FALSE),$B$7))</f>
        <v/>
      </c>
    </row>
    <row r="27" spans="4:20" x14ac:dyDescent="0.35">
      <c r="D27">
        <f>$D26+1</f>
        <v>15</v>
      </c>
      <c r="E27" t="s">
        <v>0</v>
      </c>
      <c r="F27" t="s">
        <v>192</v>
      </c>
      <c r="G27" t="s">
        <v>11</v>
      </c>
      <c r="H27" t="s">
        <v>15</v>
      </c>
      <c r="I27" t="s">
        <v>143</v>
      </c>
      <c r="J27" s="7" t="s">
        <v>220</v>
      </c>
      <c r="K27" t="str">
        <f>INDEX('[1]System Data'!$A:$A,MATCH(J27,'[1]System Data'!$B:$B,0))</f>
        <v>26</v>
      </c>
      <c r="L27" t="s">
        <v>3</v>
      </c>
      <c r="O27" t="str">
        <f t="shared" si="12"/>
        <v>No</v>
      </c>
      <c r="P27" t="str">
        <f t="shared" si="13"/>
        <v/>
      </c>
      <c r="R27" t="str">
        <f>IF(ISBLANK($N27),"",IF(AND($D27&lt;=$B$1,$N27="Yes"),VLOOKUP($K27,Export!$B$2:$AR$29,40,FALSE),$B$5))</f>
        <v/>
      </c>
      <c r="S27" t="str">
        <f>IF(ISBLANK($N27),"",IF(AND($D27&lt;=$B$1,$N27="Yes"),VLOOKUP($K27,Export!$B$2:$AR$29,41,FALSE),$B$6))</f>
        <v/>
      </c>
      <c r="T27" t="str">
        <f>IF(ISBLANK($N27),"",IF(AND($D27&lt;=$B$1,$N27="Yes"),VLOOKUP($K27,Export!$B$2:$AR$29,42,FALSE),$B$7))</f>
        <v/>
      </c>
    </row>
    <row r="28" spans="4:20" x14ac:dyDescent="0.35">
      <c r="D28">
        <f>$D27+1</f>
        <v>16</v>
      </c>
      <c r="E28" t="s">
        <v>0</v>
      </c>
      <c r="F28" t="s">
        <v>193</v>
      </c>
      <c r="G28" t="s">
        <v>12</v>
      </c>
      <c r="H28" t="s">
        <v>23</v>
      </c>
      <c r="I28" t="s">
        <v>194</v>
      </c>
      <c r="J28" s="7" t="s">
        <v>219</v>
      </c>
      <c r="K28" t="str">
        <f>INDEX('[1]System Data'!$A:$A,MATCH(J28,'[1]System Data'!$B:$B,0))</f>
        <v>13</v>
      </c>
      <c r="L28" t="s">
        <v>3</v>
      </c>
      <c r="M28" t="s">
        <v>4</v>
      </c>
      <c r="O28" t="str">
        <f t="shared" si="12"/>
        <v>No</v>
      </c>
      <c r="P28" t="str">
        <f t="shared" si="13"/>
        <v>Yes</v>
      </c>
      <c r="R28" t="str">
        <f>IF(ISBLANK($N28),"",IF(AND($D28&lt;=$B$1,$N28="Yes"),VLOOKUP($K28,Export!$B$2:$AR$29,40,FALSE),$B$5))</f>
        <v/>
      </c>
      <c r="S28" t="str">
        <f>IF(ISBLANK($N28),"",IF(AND($D28&lt;=$B$1,$N28="Yes"),VLOOKUP($K28,Export!$B$2:$AR$29,41,FALSE),$B$6))</f>
        <v/>
      </c>
      <c r="T28" t="str">
        <f>IF(ISBLANK($N28),"",IF(AND($D28&lt;=$B$1,$N28="Yes"),VLOOKUP($K28,Export!$B$2:$AR$29,42,FALSE),$B$7))</f>
        <v/>
      </c>
    </row>
    <row r="29" spans="4:20" x14ac:dyDescent="0.35">
      <c r="D29">
        <f>$D28+1</f>
        <v>17</v>
      </c>
      <c r="E29" t="s">
        <v>0</v>
      </c>
      <c r="F29" t="s">
        <v>197</v>
      </c>
      <c r="G29" t="s">
        <v>11</v>
      </c>
      <c r="H29" t="s">
        <v>15</v>
      </c>
      <c r="I29" t="s">
        <v>146</v>
      </c>
      <c r="J29" s="7" t="s">
        <v>223</v>
      </c>
      <c r="K29" t="str">
        <f>INDEX('[1]System Data'!$A:$A,MATCH(J29,'[1]System Data'!$B:$B,0))</f>
        <v>28</v>
      </c>
      <c r="L29" t="s">
        <v>3</v>
      </c>
      <c r="O29" t="str">
        <f t="shared" si="12"/>
        <v>No</v>
      </c>
      <c r="P29" t="str">
        <f t="shared" si="13"/>
        <v/>
      </c>
      <c r="R29" t="str">
        <f>IF(ISBLANK($N29),"",IF(AND($D29&lt;=$B$1,$N29="Yes"),VLOOKUP($K29,Export!$B$2:$AR$29,40,FALSE),$B$5))</f>
        <v/>
      </c>
      <c r="S29" t="str">
        <f>IF(ISBLANK($N29),"",IF(AND($D29&lt;=$B$1,$N29="Yes"),VLOOKUP($K29,Export!$B$2:$AR$29,41,FALSE),$B$6))</f>
        <v/>
      </c>
      <c r="T29" t="str">
        <f>IF(ISBLANK($N29),"",IF(AND($D29&lt;=$B$1,$N29="Yes"),VLOOKUP($K29,Export!$B$2:$AR$29,42,FALSE),$B$7))</f>
        <v/>
      </c>
    </row>
    <row r="30" spans="4:20" x14ac:dyDescent="0.35">
      <c r="D30">
        <f t="shared" ref="D30:D32" si="15">$D29+1</f>
        <v>18</v>
      </c>
      <c r="E30" t="s">
        <v>0</v>
      </c>
      <c r="F30" t="s">
        <v>198</v>
      </c>
      <c r="G30" t="s">
        <v>12</v>
      </c>
      <c r="H30" t="s">
        <v>23</v>
      </c>
      <c r="I30" t="s">
        <v>199</v>
      </c>
      <c r="J30" s="7" t="s">
        <v>205</v>
      </c>
      <c r="K30" t="str">
        <f>INDEX('[1]System Data'!$A:$A,MATCH(J30,'[1]System Data'!$B:$B,0))</f>
        <v>12</v>
      </c>
      <c r="L30" t="s">
        <v>3</v>
      </c>
      <c r="M30" t="s">
        <v>4</v>
      </c>
      <c r="O30" t="str">
        <f t="shared" si="12"/>
        <v>No</v>
      </c>
      <c r="P30" t="str">
        <f t="shared" si="13"/>
        <v>Yes</v>
      </c>
      <c r="R30" t="str">
        <f>IF(ISBLANK($N30),"",IF(AND($D30&lt;=$B$1,$N30="Yes"),VLOOKUP($K30,Export!$B$2:$AR$29,40,FALSE),$B$5))</f>
        <v/>
      </c>
      <c r="S30" t="str">
        <f>IF(ISBLANK($N30),"",IF(AND($D30&lt;=$B$1,$N30="Yes"),VLOOKUP($K30,Export!$B$2:$AR$29,41,FALSE),$B$6))</f>
        <v/>
      </c>
      <c r="T30" t="str">
        <f>IF(ISBLANK($N30),"",IF(AND($D30&lt;=$B$1,$N30="Yes"),VLOOKUP($K30,Export!$B$2:$AR$29,42,FALSE),$B$7))</f>
        <v/>
      </c>
    </row>
    <row r="31" spans="4:20" x14ac:dyDescent="0.35">
      <c r="D31">
        <f t="shared" si="15"/>
        <v>19</v>
      </c>
      <c r="E31" t="s">
        <v>0</v>
      </c>
      <c r="F31" t="s">
        <v>200</v>
      </c>
      <c r="G31" t="s">
        <v>11</v>
      </c>
      <c r="H31" t="s">
        <v>15</v>
      </c>
      <c r="I31" t="s">
        <v>132</v>
      </c>
      <c r="J31" s="7" t="s">
        <v>224</v>
      </c>
      <c r="K31" t="str">
        <f>INDEX('[1]System Data'!$A:$A,MATCH(J31,'[1]System Data'!$B:$B,0))</f>
        <v>29</v>
      </c>
      <c r="L31" t="s">
        <v>3</v>
      </c>
      <c r="O31" t="str">
        <f t="shared" si="12"/>
        <v>No</v>
      </c>
      <c r="P31" t="str">
        <f t="shared" si="13"/>
        <v/>
      </c>
      <c r="R31" t="str">
        <f>IF(ISBLANK($N31),"",IF(AND($D31&lt;=$B$1,$N31="Yes"),VLOOKUP($K31,Export!$B$2:$AR$29,40,FALSE),$B$5))</f>
        <v/>
      </c>
      <c r="S31" t="str">
        <f>IF(ISBLANK($N31),"",IF(AND($D31&lt;=$B$1,$N31="Yes"),VLOOKUP($K31,Export!$B$2:$AR$29,41,FALSE),$B$6))</f>
        <v/>
      </c>
      <c r="T31" t="str">
        <f>IF(ISBLANK($N31),"",IF(AND($D31&lt;=$B$1,$N31="Yes"),VLOOKUP($K31,Export!$B$2:$AR$29,42,FALSE),$B$7))</f>
        <v/>
      </c>
    </row>
    <row r="32" spans="4:20" x14ac:dyDescent="0.35">
      <c r="D32">
        <f t="shared" si="15"/>
        <v>20</v>
      </c>
      <c r="E32" t="s">
        <v>0</v>
      </c>
      <c r="F32" t="s">
        <v>201</v>
      </c>
      <c r="G32" t="s">
        <v>11</v>
      </c>
      <c r="H32" t="s">
        <v>23</v>
      </c>
      <c r="I32" t="s">
        <v>132</v>
      </c>
      <c r="J32" s="7" t="s">
        <v>225</v>
      </c>
      <c r="K32" t="str">
        <f>INDEX('[1]System Data'!$A:$A,MATCH(J32,'[1]System Data'!$B:$B,0))</f>
        <v>19</v>
      </c>
      <c r="L32" t="s">
        <v>3</v>
      </c>
      <c r="M32" t="s">
        <v>3</v>
      </c>
      <c r="O32" t="str">
        <f>IF(D32&lt;=$B$1, L32, $B$3)</f>
        <v>No</v>
      </c>
      <c r="P32" t="str">
        <f>IF(ISBLANK(M32), "", IF(D32&lt;=$B$1, M32, $B$4))</f>
        <v>No</v>
      </c>
    </row>
    <row r="33" spans="4:20" x14ac:dyDescent="0.35">
      <c r="D33">
        <f>$D32+1</f>
        <v>21</v>
      </c>
      <c r="E33" t="s">
        <v>0</v>
      </c>
      <c r="F33" t="s">
        <v>195</v>
      </c>
      <c r="G33" t="s">
        <v>11</v>
      </c>
      <c r="H33" t="s">
        <v>15</v>
      </c>
      <c r="I33" t="s">
        <v>130</v>
      </c>
      <c r="J33" s="7" t="s">
        <v>221</v>
      </c>
      <c r="K33" t="str">
        <f>INDEX('[1]System Data'!$A:$A,MATCH(J33,'[1]System Data'!$B:$B,0))</f>
        <v>27</v>
      </c>
      <c r="L33" t="s">
        <v>3</v>
      </c>
      <c r="O33" t="str">
        <f>IF(D33&lt;=$B$1, L33, $B$3)</f>
        <v>No</v>
      </c>
      <c r="P33" t="str">
        <f>IF(ISBLANK(M33), "", IF($D33&lt;=$B$1, M33, $B$4))</f>
        <v/>
      </c>
      <c r="R33" t="str">
        <f>IF(ISBLANK($N33),"",IF(AND($D33&lt;=$B$1,$N33="Yes"),VLOOKUP($K33,Export!$B$2:$AR$29,40,FALSE),$B$5))</f>
        <v/>
      </c>
      <c r="S33" t="str">
        <f>IF(ISBLANK($N33),"",IF(AND($D33&lt;=$B$1,$N33="Yes"),VLOOKUP($K33,Export!$B$2:$AR$29,41,FALSE),$B$6))</f>
        <v/>
      </c>
      <c r="T33" t="str">
        <f>IF(ISBLANK($N33),"",IF(AND($D33&lt;=$B$1,$N33="Yes"),VLOOKUP($K33,Export!$B$2:$AR$29,42,FALSE),$B$7))</f>
        <v/>
      </c>
    </row>
    <row r="34" spans="4:20" x14ac:dyDescent="0.35">
      <c r="D34">
        <f>$D33+1</f>
        <v>22</v>
      </c>
      <c r="E34" t="s">
        <v>0</v>
      </c>
      <c r="F34" t="s">
        <v>196</v>
      </c>
      <c r="G34" t="s">
        <v>11</v>
      </c>
      <c r="H34" t="s">
        <v>23</v>
      </c>
      <c r="I34" t="s">
        <v>130</v>
      </c>
      <c r="J34" s="7" t="s">
        <v>222</v>
      </c>
      <c r="K34" t="str">
        <f>INDEX('[1]System Data'!$A:$A,MATCH(J34,'[1]System Data'!$B:$B,0))</f>
        <v>18</v>
      </c>
      <c r="L34" t="s">
        <v>3</v>
      </c>
      <c r="O34" t="str">
        <f>IF(D34&lt;=$B$1, L34, $B$3)</f>
        <v>No</v>
      </c>
      <c r="P34" t="str">
        <f>IF(ISBLANK(M34), "", IF($D34&lt;=$B$1, M34, $B$4))</f>
        <v/>
      </c>
      <c r="R34" t="str">
        <f>IF(ISBLANK($N34),"",IF(AND($D34&lt;=$B$1,$N34="Yes"),VLOOKUP($K34,Export!$B$2:$AR$29,40,FALSE),$B$5))</f>
        <v/>
      </c>
      <c r="S34" t="str">
        <f>IF(ISBLANK($N34),"",IF(AND($D34&lt;=$B$1,$N34="Yes"),VLOOKUP($K34,Export!$B$2:$AR$29,41,FALSE),$B$6))</f>
        <v/>
      </c>
      <c r="T34" t="str">
        <f>IF(ISBLANK($N34),"",IF(AND($D34&lt;=$B$1,$N34="Yes"),VLOOKUP($K34,Export!$B$2:$AR$29,42,FALSE),$B$7))</f>
        <v/>
      </c>
    </row>
    <row r="54" spans="10:10" x14ac:dyDescent="0.35">
      <c r="J54" s="2"/>
    </row>
    <row r="57" spans="10:10" x14ac:dyDescent="0.35">
      <c r="J57" s="2"/>
    </row>
    <row r="58" spans="10:10" x14ac:dyDescent="0.35">
      <c r="J58" s="2"/>
    </row>
    <row r="59" spans="10:10" x14ac:dyDescent="0.35">
      <c r="J59" s="2"/>
    </row>
    <row r="60" spans="10:10" x14ac:dyDescent="0.35">
      <c r="J60" s="2"/>
    </row>
    <row r="61" spans="10:10" x14ac:dyDescent="0.35">
      <c r="J61" s="2"/>
    </row>
    <row r="62" spans="10:10" x14ac:dyDescent="0.35">
      <c r="J62" s="2"/>
    </row>
    <row r="63" spans="10:10" x14ac:dyDescent="0.35">
      <c r="J63" s="2"/>
    </row>
    <row r="64" spans="10:10" x14ac:dyDescent="0.35">
      <c r="J64" s="2"/>
    </row>
    <row r="65" spans="10:10" x14ac:dyDescent="0.35">
      <c r="J65" s="2"/>
    </row>
    <row r="66" spans="10:10" x14ac:dyDescent="0.35">
      <c r="J66" s="2"/>
    </row>
    <row r="67" spans="10:10" x14ac:dyDescent="0.35">
      <c r="J67" s="2"/>
    </row>
  </sheetData>
  <autoFilter ref="D1:P62" xr:uid="{00000000-0001-0000-0000-000000000000}"/>
  <phoneticPr fontId="2" type="noConversion"/>
  <conditionalFormatting sqref="D2:F28 D30:F32 D34:F34">
    <cfRule type="expression" dxfId="2" priority="9">
      <formula>$D2=$D1</formula>
    </cfRule>
  </conditionalFormatting>
  <conditionalFormatting sqref="D29:F29">
    <cfRule type="expression" dxfId="1" priority="12">
      <formula>$D29=$D34</formula>
    </cfRule>
  </conditionalFormatting>
  <conditionalFormatting sqref="D33:F33">
    <cfRule type="expression" dxfId="0" priority="13">
      <formula>$D33=$D28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44A7-2F4C-48F4-9DD6-7EFF24FABAA1}">
  <dimension ref="A1:AZ29"/>
  <sheetViews>
    <sheetView topLeftCell="Z1" workbookViewId="0">
      <selection activeCell="C35" sqref="C35"/>
    </sheetView>
  </sheetViews>
  <sheetFormatPr defaultRowHeight="14.5" x14ac:dyDescent="0.35"/>
  <cols>
    <col min="1" max="1" width="11.54296875" bestFit="1" customWidth="1"/>
    <col min="2" max="2" width="3.1796875" bestFit="1" customWidth="1"/>
    <col min="3" max="3" width="16.90625" bestFit="1" customWidth="1"/>
    <col min="4" max="4" width="12.90625" bestFit="1" customWidth="1"/>
    <col min="5" max="5" width="11.36328125" bestFit="1" customWidth="1"/>
    <col min="6" max="6" width="13.453125" bestFit="1" customWidth="1"/>
    <col min="7" max="7" width="9.26953125" bestFit="1" customWidth="1"/>
    <col min="8" max="8" width="11.90625" bestFit="1" customWidth="1"/>
    <col min="9" max="9" width="11.36328125" bestFit="1" customWidth="1"/>
    <col min="11" max="11" width="4.7265625" bestFit="1" customWidth="1"/>
    <col min="12" max="12" width="5.26953125" bestFit="1" customWidth="1"/>
    <col min="13" max="13" width="6.7265625" bestFit="1" customWidth="1"/>
    <col min="14" max="14" width="15.08984375" bestFit="1" customWidth="1"/>
    <col min="15" max="15" width="12.6328125" bestFit="1" customWidth="1"/>
    <col min="16" max="16" width="10.08984375" bestFit="1" customWidth="1"/>
    <col min="17" max="17" width="11.6328125" bestFit="1" customWidth="1"/>
    <col min="18" max="18" width="11.36328125" bestFit="1" customWidth="1"/>
    <col min="19" max="19" width="13.90625" bestFit="1" customWidth="1"/>
    <col min="20" max="20" width="8.36328125" bestFit="1" customWidth="1"/>
    <col min="21" max="21" width="12.08984375" bestFit="1" customWidth="1"/>
    <col min="22" max="22" width="8.08984375" bestFit="1" customWidth="1"/>
    <col min="23" max="23" width="7.08984375" bestFit="1" customWidth="1"/>
    <col min="24" max="24" width="6.54296875" bestFit="1" customWidth="1"/>
    <col min="25" max="25" width="6.90625" bestFit="1" customWidth="1"/>
    <col min="26" max="26" width="7.54296875" bestFit="1" customWidth="1"/>
    <col min="27" max="27" width="25.81640625" bestFit="1" customWidth="1"/>
    <col min="28" max="29" width="6.54296875" bestFit="1" customWidth="1"/>
    <col min="30" max="30" width="14.7265625" bestFit="1" customWidth="1"/>
    <col min="31" max="31" width="6.54296875" bestFit="1" customWidth="1"/>
    <col min="32" max="32" width="8.6328125" bestFit="1" customWidth="1"/>
    <col min="33" max="33" width="9.26953125" bestFit="1" customWidth="1"/>
    <col min="34" max="34" width="13.36328125" bestFit="1" customWidth="1"/>
    <col min="35" max="35" width="5.6328125" bestFit="1" customWidth="1"/>
    <col min="36" max="36" width="10.26953125" bestFit="1" customWidth="1"/>
    <col min="37" max="37" width="16.6328125" bestFit="1" customWidth="1"/>
    <col min="38" max="38" width="15.26953125" bestFit="1" customWidth="1"/>
    <col min="39" max="39" width="21.90625" bestFit="1" customWidth="1"/>
    <col min="40" max="40" width="3.26953125" bestFit="1" customWidth="1"/>
    <col min="41" max="41" width="12.26953125" bestFit="1" customWidth="1"/>
    <col min="42" max="42" width="14.26953125" bestFit="1" customWidth="1"/>
    <col min="43" max="43" width="12.90625" bestFit="1" customWidth="1"/>
    <col min="44" max="44" width="19.54296875" bestFit="1" customWidth="1"/>
    <col min="45" max="45" width="20.1796875" bestFit="1" customWidth="1"/>
    <col min="46" max="46" width="11.08984375" bestFit="1" customWidth="1"/>
    <col min="47" max="47" width="14.54296875" bestFit="1" customWidth="1"/>
    <col min="48" max="48" width="9.453125" bestFit="1" customWidth="1"/>
    <col min="49" max="49" width="16.90625" bestFit="1" customWidth="1"/>
    <col min="50" max="50" width="8.453125" bestFit="1" customWidth="1"/>
  </cols>
  <sheetData>
    <row r="1" spans="1:52" ht="15" thickBot="1" x14ac:dyDescent="0.4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  <c r="N1" s="3" t="s">
        <v>51</v>
      </c>
      <c r="O1" s="3" t="s">
        <v>52</v>
      </c>
      <c r="P1" s="3" t="s">
        <v>53</v>
      </c>
      <c r="Q1" s="3" t="s">
        <v>54</v>
      </c>
      <c r="R1" s="3" t="s">
        <v>55</v>
      </c>
      <c r="S1" s="3" t="s">
        <v>56</v>
      </c>
      <c r="T1" s="3" t="s">
        <v>57</v>
      </c>
      <c r="U1" s="3" t="s">
        <v>58</v>
      </c>
      <c r="V1" s="3" t="s">
        <v>59</v>
      </c>
      <c r="W1" s="3" t="s">
        <v>60</v>
      </c>
      <c r="X1" s="3" t="s">
        <v>61</v>
      </c>
      <c r="Y1" s="3" t="s">
        <v>62</v>
      </c>
      <c r="Z1" s="3" t="s">
        <v>63</v>
      </c>
      <c r="AA1" s="3" t="s">
        <v>64</v>
      </c>
      <c r="AB1" s="3" t="s">
        <v>65</v>
      </c>
      <c r="AC1" s="3" t="s">
        <v>66</v>
      </c>
      <c r="AD1" s="3" t="s">
        <v>67</v>
      </c>
      <c r="AE1" s="3" t="s">
        <v>68</v>
      </c>
      <c r="AF1" s="3" t="s">
        <v>69</v>
      </c>
      <c r="AG1" s="3" t="s">
        <v>70</v>
      </c>
      <c r="AH1" s="3" t="s">
        <v>71</v>
      </c>
      <c r="AI1" s="3" t="s">
        <v>72</v>
      </c>
      <c r="AJ1" s="3" t="s">
        <v>73</v>
      </c>
      <c r="AK1" s="3" t="s">
        <v>74</v>
      </c>
      <c r="AL1" s="3" t="s">
        <v>75</v>
      </c>
      <c r="AM1" s="3" t="s">
        <v>76</v>
      </c>
      <c r="AN1" s="3" t="s">
        <v>77</v>
      </c>
      <c r="AO1" s="3" t="s">
        <v>78</v>
      </c>
      <c r="AP1" s="3" t="s">
        <v>79</v>
      </c>
      <c r="AQ1" s="3" t="s">
        <v>80</v>
      </c>
      <c r="AR1" s="3" t="s">
        <v>81</v>
      </c>
      <c r="AS1" s="3" t="s">
        <v>82</v>
      </c>
      <c r="AT1" s="3" t="s">
        <v>83</v>
      </c>
      <c r="AU1" s="3" t="s">
        <v>84</v>
      </c>
      <c r="AV1" s="3" t="s">
        <v>85</v>
      </c>
      <c r="AW1" s="3" t="s">
        <v>86</v>
      </c>
      <c r="AX1" s="3" t="s">
        <v>87</v>
      </c>
    </row>
    <row r="2" spans="1:52" ht="15" thickBot="1" x14ac:dyDescent="0.4">
      <c r="A2" s="4" t="s">
        <v>88</v>
      </c>
      <c r="B2" s="5" t="s">
        <v>89</v>
      </c>
      <c r="C2" s="2" t="s">
        <v>90</v>
      </c>
      <c r="D2" s="5" t="s">
        <v>91</v>
      </c>
      <c r="E2" s="2" t="s">
        <v>38</v>
      </c>
      <c r="F2" s="2" t="s">
        <v>92</v>
      </c>
      <c r="AX2" s="2" t="s">
        <v>3</v>
      </c>
    </row>
    <row r="3" spans="1:52" ht="15" thickBot="1" x14ac:dyDescent="0.4">
      <c r="A3" s="4" t="s">
        <v>93</v>
      </c>
      <c r="B3" s="5" t="s">
        <v>94</v>
      </c>
      <c r="C3" s="2" t="s">
        <v>30</v>
      </c>
      <c r="G3" s="2" t="s">
        <v>95</v>
      </c>
      <c r="I3" s="2" t="s">
        <v>96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Y3" t="str">
        <f>IF(A3&lt;&gt;"Attribute","",IF(AZ3&gt;=1,"Yes","No"))</f>
        <v/>
      </c>
      <c r="AT3" s="2" t="s">
        <v>89</v>
      </c>
      <c r="AU3" s="2" t="s">
        <v>90</v>
      </c>
      <c r="AV3" s="2" t="s">
        <v>92</v>
      </c>
      <c r="AW3" s="2" t="s">
        <v>97</v>
      </c>
      <c r="AX3" s="2" t="str">
        <f>IF(AY3&gt;=1, "No", "Yes")</f>
        <v>No</v>
      </c>
      <c r="AY3">
        <f>COUNTIFS(Stappen!$K:$K, B3, Stappen!$O:$O, "No")</f>
        <v>1</v>
      </c>
      <c r="AZ3">
        <f>COUNTIFS(Stappen!$K:$K, B3, Stappen!$P:$P, "Yes")</f>
        <v>0</v>
      </c>
    </row>
    <row r="4" spans="1:52" ht="15" thickBot="1" x14ac:dyDescent="0.4">
      <c r="A4" s="4" t="s">
        <v>98</v>
      </c>
      <c r="B4" s="5" t="s">
        <v>99</v>
      </c>
      <c r="C4" s="2" t="s">
        <v>31</v>
      </c>
      <c r="D4" s="2" t="s">
        <v>100</v>
      </c>
      <c r="G4" s="2" t="s">
        <v>99</v>
      </c>
      <c r="I4" s="2" t="s">
        <v>101</v>
      </c>
      <c r="J4" s="2" t="s">
        <v>3</v>
      </c>
      <c r="R4" s="2" t="s">
        <v>102</v>
      </c>
      <c r="S4" s="2" t="s">
        <v>38</v>
      </c>
      <c r="T4" s="2" t="s">
        <v>103</v>
      </c>
      <c r="U4" s="2" t="s">
        <v>104</v>
      </c>
      <c r="V4" s="2" t="s">
        <v>3</v>
      </c>
      <c r="W4" s="2" t="s">
        <v>4</v>
      </c>
      <c r="X4" s="2" t="s">
        <v>3</v>
      </c>
      <c r="Y4" t="str">
        <f t="shared" ref="Y4:Y29" si="0">IF(A4&lt;&gt;"Attribute","",IF(AZ4&gt;=1,"Yes","No"))</f>
        <v>Yes</v>
      </c>
      <c r="Z4" s="2" t="s">
        <v>4</v>
      </c>
      <c r="AT4" s="2" t="s">
        <v>89</v>
      </c>
      <c r="AU4" s="2" t="s">
        <v>90</v>
      </c>
      <c r="AV4" s="2" t="s">
        <v>95</v>
      </c>
      <c r="AW4" s="2" t="s">
        <v>30</v>
      </c>
      <c r="AX4" s="2" t="str">
        <f t="shared" ref="AX4:AX29" si="1">IF(AY4&gt;=1, "No", "Yes")</f>
        <v>No</v>
      </c>
      <c r="AY4">
        <f>COUNTIFS(Stappen!$K:$K, B4, Stappen!$O:$O, "No")</f>
        <v>2</v>
      </c>
      <c r="AZ4">
        <f>COUNTIFS(Stappen!$K:$K, B4, Stappen!$P:$P, "Yes")</f>
        <v>1</v>
      </c>
    </row>
    <row r="5" spans="1:52" ht="15" thickBot="1" x14ac:dyDescent="0.4">
      <c r="A5" s="4" t="s">
        <v>98</v>
      </c>
      <c r="B5" s="5" t="s">
        <v>105</v>
      </c>
      <c r="C5" s="2" t="s">
        <v>106</v>
      </c>
      <c r="D5" s="2" t="s">
        <v>107</v>
      </c>
      <c r="G5" s="2" t="s">
        <v>105</v>
      </c>
      <c r="I5" s="2" t="s">
        <v>101</v>
      </c>
      <c r="J5" s="2" t="s">
        <v>3</v>
      </c>
      <c r="R5" s="2" t="s">
        <v>102</v>
      </c>
      <c r="S5" s="2" t="s">
        <v>38</v>
      </c>
      <c r="T5" s="2" t="s">
        <v>103</v>
      </c>
      <c r="U5" s="2" t="s">
        <v>104</v>
      </c>
      <c r="V5" s="2" t="s">
        <v>3</v>
      </c>
      <c r="W5" s="2" t="s">
        <v>4</v>
      </c>
      <c r="X5" s="2" t="s">
        <v>3</v>
      </c>
      <c r="Y5" t="str">
        <f t="shared" si="0"/>
        <v>Yes</v>
      </c>
      <c r="Z5" s="2" t="s">
        <v>4</v>
      </c>
      <c r="AT5" s="2" t="s">
        <v>89</v>
      </c>
      <c r="AU5" s="2" t="s">
        <v>90</v>
      </c>
      <c r="AV5" s="2" t="s">
        <v>95</v>
      </c>
      <c r="AW5" s="2" t="s">
        <v>30</v>
      </c>
      <c r="AX5" s="2" t="str">
        <f t="shared" si="1"/>
        <v>No</v>
      </c>
      <c r="AY5">
        <f>COUNTIFS(Stappen!$K:$K, B5, Stappen!$O:$O, "No")</f>
        <v>2</v>
      </c>
      <c r="AZ5">
        <f>COUNTIFS(Stappen!$K:$K, B5, Stappen!$P:$P, "Yes")</f>
        <v>1</v>
      </c>
    </row>
    <row r="6" spans="1:52" ht="15" thickBot="1" x14ac:dyDescent="0.4">
      <c r="A6" s="4" t="s">
        <v>108</v>
      </c>
      <c r="B6" s="5" t="s">
        <v>109</v>
      </c>
      <c r="C6" s="2" t="s">
        <v>30</v>
      </c>
      <c r="G6" s="2" t="s">
        <v>109</v>
      </c>
      <c r="I6" s="2" t="s">
        <v>96</v>
      </c>
      <c r="J6" s="2" t="s">
        <v>3</v>
      </c>
      <c r="K6" s="2" t="s">
        <v>3</v>
      </c>
      <c r="S6" s="2" t="s">
        <v>38</v>
      </c>
      <c r="T6" s="2" t="s">
        <v>103</v>
      </c>
      <c r="W6" s="2" t="s">
        <v>4</v>
      </c>
      <c r="Y6" t="str">
        <f t="shared" si="0"/>
        <v/>
      </c>
      <c r="Z6" s="2" t="s">
        <v>4</v>
      </c>
      <c r="AE6" s="2" t="s">
        <v>3</v>
      </c>
      <c r="AF6" s="2" t="s">
        <v>3</v>
      </c>
      <c r="AT6" s="2" t="s">
        <v>89</v>
      </c>
      <c r="AU6" s="2" t="s">
        <v>90</v>
      </c>
      <c r="AV6" s="2" t="s">
        <v>95</v>
      </c>
      <c r="AW6" s="2" t="s">
        <v>30</v>
      </c>
      <c r="AX6" s="2" t="str">
        <f t="shared" si="1"/>
        <v>No</v>
      </c>
      <c r="AY6">
        <f>COUNTIFS(Stappen!$K:$K, B6, Stappen!$O:$O, "No")</f>
        <v>1</v>
      </c>
      <c r="AZ6">
        <f>COUNTIFS(Stappen!$K:$K, B6, Stappen!$P:$P, "Yes")</f>
        <v>0</v>
      </c>
    </row>
    <row r="7" spans="1:52" ht="15" thickBot="1" x14ac:dyDescent="0.4">
      <c r="A7" s="4" t="s">
        <v>14</v>
      </c>
      <c r="B7" s="5" t="s">
        <v>110</v>
      </c>
      <c r="C7" s="2" t="s">
        <v>31</v>
      </c>
      <c r="D7" s="2" t="s">
        <v>100</v>
      </c>
      <c r="G7" s="2" t="s">
        <v>110</v>
      </c>
      <c r="R7" s="2" t="s">
        <v>102</v>
      </c>
      <c r="S7" s="2" t="s">
        <v>38</v>
      </c>
      <c r="Y7" t="str">
        <f t="shared" si="0"/>
        <v/>
      </c>
      <c r="AG7" s="2" t="s">
        <v>111</v>
      </c>
      <c r="AT7" s="2" t="s">
        <v>89</v>
      </c>
      <c r="AU7" s="2" t="s">
        <v>90</v>
      </c>
      <c r="AV7" s="2" t="s">
        <v>109</v>
      </c>
      <c r="AW7" s="2" t="s">
        <v>30</v>
      </c>
      <c r="AX7" s="2" t="str">
        <f t="shared" si="1"/>
        <v>No</v>
      </c>
      <c r="AY7">
        <f>COUNTIFS(Stappen!$K:$K, B7, Stappen!$O:$O, "No")</f>
        <v>1</v>
      </c>
      <c r="AZ7">
        <f>COUNTIFS(Stappen!$K:$K, B7, Stappen!$P:$P, "Yes")</f>
        <v>0</v>
      </c>
    </row>
    <row r="8" spans="1:52" ht="15" thickBot="1" x14ac:dyDescent="0.4">
      <c r="A8" s="4" t="s">
        <v>14</v>
      </c>
      <c r="B8" s="5" t="s">
        <v>112</v>
      </c>
      <c r="C8" s="2" t="s">
        <v>106</v>
      </c>
      <c r="D8" s="2" t="s">
        <v>107</v>
      </c>
      <c r="G8" s="2" t="s">
        <v>112</v>
      </c>
      <c r="R8" s="2" t="s">
        <v>102</v>
      </c>
      <c r="S8" s="2" t="s">
        <v>38</v>
      </c>
      <c r="Y8" t="str">
        <f t="shared" si="0"/>
        <v/>
      </c>
      <c r="AG8" s="2" t="s">
        <v>111</v>
      </c>
      <c r="AT8" s="2" t="s">
        <v>89</v>
      </c>
      <c r="AU8" s="2" t="s">
        <v>90</v>
      </c>
      <c r="AV8" s="2" t="s">
        <v>109</v>
      </c>
      <c r="AW8" s="2" t="s">
        <v>30</v>
      </c>
      <c r="AX8" s="2" t="str">
        <f t="shared" si="1"/>
        <v>No</v>
      </c>
      <c r="AY8">
        <f>COUNTIFS(Stappen!$K:$K, B8, Stappen!$O:$O, "No")</f>
        <v>1</v>
      </c>
      <c r="AZ8">
        <f>COUNTIFS(Stappen!$K:$K, B8, Stappen!$P:$P, "Yes")</f>
        <v>0</v>
      </c>
    </row>
    <row r="9" spans="1:52" ht="15" thickBot="1" x14ac:dyDescent="0.4">
      <c r="A9" s="4" t="s">
        <v>93</v>
      </c>
      <c r="B9" s="5" t="s">
        <v>113</v>
      </c>
      <c r="C9" s="2" t="s">
        <v>23</v>
      </c>
      <c r="G9" s="2" t="s">
        <v>114</v>
      </c>
      <c r="I9" s="2" t="s">
        <v>96</v>
      </c>
      <c r="J9" s="2" t="s">
        <v>3</v>
      </c>
      <c r="K9" s="2" t="s">
        <v>3</v>
      </c>
      <c r="L9" s="2" t="s">
        <v>3</v>
      </c>
      <c r="M9" s="2" t="s">
        <v>3</v>
      </c>
      <c r="N9" s="2" t="s">
        <v>3</v>
      </c>
      <c r="Y9" t="str">
        <f t="shared" si="0"/>
        <v/>
      </c>
      <c r="AT9" s="2" t="s">
        <v>89</v>
      </c>
      <c r="AU9" s="2" t="s">
        <v>90</v>
      </c>
      <c r="AV9" s="2" t="s">
        <v>92</v>
      </c>
      <c r="AW9" s="2" t="s">
        <v>97</v>
      </c>
      <c r="AX9" s="2" t="str">
        <f t="shared" si="1"/>
        <v>No</v>
      </c>
      <c r="AY9">
        <f>COUNTIFS(Stappen!$K:$K, B9, Stappen!$O:$O, "No")</f>
        <v>1</v>
      </c>
      <c r="AZ9">
        <f>COUNTIFS(Stappen!$K:$K, B9, Stappen!$P:$P, "Yes")</f>
        <v>0</v>
      </c>
    </row>
    <row r="10" spans="1:52" ht="15" thickBot="1" x14ac:dyDescent="0.4">
      <c r="A10" s="4" t="s">
        <v>98</v>
      </c>
      <c r="B10" s="5" t="s">
        <v>115</v>
      </c>
      <c r="C10" s="2" t="s">
        <v>116</v>
      </c>
      <c r="D10" s="2" t="s">
        <v>100</v>
      </c>
      <c r="G10" s="2" t="s">
        <v>115</v>
      </c>
      <c r="I10" s="2" t="s">
        <v>101</v>
      </c>
      <c r="J10" s="2" t="s">
        <v>3</v>
      </c>
      <c r="R10" s="2" t="s">
        <v>102</v>
      </c>
      <c r="S10" s="2" t="s">
        <v>38</v>
      </c>
      <c r="T10" s="2" t="s">
        <v>103</v>
      </c>
      <c r="U10" s="2" t="s">
        <v>104</v>
      </c>
      <c r="V10" s="2" t="s">
        <v>3</v>
      </c>
      <c r="W10" s="2" t="s">
        <v>4</v>
      </c>
      <c r="X10" s="2" t="s">
        <v>3</v>
      </c>
      <c r="Y10" t="str">
        <f t="shared" si="0"/>
        <v>Yes</v>
      </c>
      <c r="Z10" s="2" t="s">
        <v>4</v>
      </c>
      <c r="AT10" s="2" t="s">
        <v>89</v>
      </c>
      <c r="AU10" s="2" t="s">
        <v>90</v>
      </c>
      <c r="AV10" s="2" t="s">
        <v>114</v>
      </c>
      <c r="AW10" s="2" t="s">
        <v>23</v>
      </c>
      <c r="AX10" s="2" t="str">
        <f t="shared" si="1"/>
        <v>No</v>
      </c>
      <c r="AY10">
        <f>COUNTIFS(Stappen!$K:$K, B10, Stappen!$O:$O, "No")</f>
        <v>2</v>
      </c>
      <c r="AZ10">
        <f>COUNTIFS(Stappen!$K:$K, B10, Stappen!$P:$P, "Yes")</f>
        <v>1</v>
      </c>
    </row>
    <row r="11" spans="1:52" ht="15" thickBot="1" x14ac:dyDescent="0.4">
      <c r="A11" s="4" t="s">
        <v>98</v>
      </c>
      <c r="B11" s="5" t="s">
        <v>117</v>
      </c>
      <c r="C11" s="2" t="s">
        <v>118</v>
      </c>
      <c r="D11" s="2" t="s">
        <v>119</v>
      </c>
      <c r="G11" s="2" t="s">
        <v>117</v>
      </c>
      <c r="I11" s="2" t="s">
        <v>101</v>
      </c>
      <c r="J11" s="2" t="s">
        <v>3</v>
      </c>
      <c r="R11" s="2" t="s">
        <v>102</v>
      </c>
      <c r="S11" s="2" t="s">
        <v>38</v>
      </c>
      <c r="T11" s="2" t="s">
        <v>103</v>
      </c>
      <c r="U11" s="2" t="s">
        <v>104</v>
      </c>
      <c r="V11" s="2" t="s">
        <v>3</v>
      </c>
      <c r="W11" s="2" t="s">
        <v>4</v>
      </c>
      <c r="X11" s="2" t="s">
        <v>3</v>
      </c>
      <c r="Y11" t="str">
        <f t="shared" si="0"/>
        <v>Yes</v>
      </c>
      <c r="Z11" s="2" t="s">
        <v>4</v>
      </c>
      <c r="AT11" s="2" t="s">
        <v>89</v>
      </c>
      <c r="AU11" s="2" t="s">
        <v>90</v>
      </c>
      <c r="AV11" s="2" t="s">
        <v>114</v>
      </c>
      <c r="AW11" s="2" t="s">
        <v>23</v>
      </c>
      <c r="AX11" s="2" t="str">
        <f t="shared" si="1"/>
        <v>No</v>
      </c>
      <c r="AY11">
        <f>COUNTIFS(Stappen!$K:$K, B11, Stappen!$O:$O, "No")</f>
        <v>2</v>
      </c>
      <c r="AZ11">
        <f>COUNTIFS(Stappen!$K:$K, B11, Stappen!$P:$P, "Yes")</f>
        <v>1</v>
      </c>
    </row>
    <row r="12" spans="1:52" ht="15" thickBot="1" x14ac:dyDescent="0.4">
      <c r="A12" s="4" t="s">
        <v>108</v>
      </c>
      <c r="B12" s="5" t="s">
        <v>120</v>
      </c>
      <c r="C12" s="2" t="s">
        <v>23</v>
      </c>
      <c r="G12" s="2" t="s">
        <v>120</v>
      </c>
      <c r="I12" s="2" t="s">
        <v>96</v>
      </c>
      <c r="J12" s="2" t="s">
        <v>3</v>
      </c>
      <c r="K12" s="2" t="s">
        <v>3</v>
      </c>
      <c r="S12" s="2" t="s">
        <v>38</v>
      </c>
      <c r="T12" s="2" t="s">
        <v>103</v>
      </c>
      <c r="W12" s="2" t="s">
        <v>4</v>
      </c>
      <c r="Y12" t="str">
        <f t="shared" si="0"/>
        <v/>
      </c>
      <c r="Z12" s="2" t="s">
        <v>4</v>
      </c>
      <c r="AE12" s="2" t="s">
        <v>3</v>
      </c>
      <c r="AF12" s="2" t="s">
        <v>3</v>
      </c>
      <c r="AT12" s="2" t="s">
        <v>89</v>
      </c>
      <c r="AU12" s="2" t="s">
        <v>90</v>
      </c>
      <c r="AV12" s="2" t="s">
        <v>114</v>
      </c>
      <c r="AW12" s="2" t="s">
        <v>23</v>
      </c>
      <c r="AX12" s="2" t="str">
        <f t="shared" si="1"/>
        <v>No</v>
      </c>
      <c r="AY12">
        <f>COUNTIFS(Stappen!$K:$K, B12, Stappen!$O:$O, "No")</f>
        <v>1</v>
      </c>
      <c r="AZ12">
        <f>COUNTIFS(Stappen!$K:$K, B12, Stappen!$P:$P, "Yes")</f>
        <v>0</v>
      </c>
    </row>
    <row r="13" spans="1:52" ht="15" thickBot="1" x14ac:dyDescent="0.4">
      <c r="A13" s="4" t="s">
        <v>108</v>
      </c>
      <c r="B13" s="5" t="s">
        <v>121</v>
      </c>
      <c r="C13" s="2" t="s">
        <v>122</v>
      </c>
      <c r="G13" s="2" t="s">
        <v>121</v>
      </c>
      <c r="I13" s="2" t="s">
        <v>96</v>
      </c>
      <c r="J13" s="2" t="s">
        <v>3</v>
      </c>
      <c r="K13" s="2" t="s">
        <v>3</v>
      </c>
      <c r="S13" s="2" t="s">
        <v>38</v>
      </c>
      <c r="T13" s="2" t="s">
        <v>103</v>
      </c>
      <c r="W13" s="2" t="s">
        <v>4</v>
      </c>
      <c r="Y13" t="str">
        <f t="shared" si="0"/>
        <v/>
      </c>
      <c r="Z13" s="2" t="s">
        <v>4</v>
      </c>
      <c r="AA13" s="2" t="s">
        <v>123</v>
      </c>
      <c r="AE13" s="2" t="s">
        <v>3</v>
      </c>
      <c r="AF13" s="2" t="s">
        <v>3</v>
      </c>
      <c r="AT13" s="2" t="s">
        <v>89</v>
      </c>
      <c r="AU13" s="2" t="s">
        <v>90</v>
      </c>
      <c r="AV13" s="2" t="s">
        <v>114</v>
      </c>
      <c r="AW13" s="2" t="s">
        <v>23</v>
      </c>
      <c r="AX13" s="2" t="str">
        <f t="shared" si="1"/>
        <v>No</v>
      </c>
      <c r="AY13">
        <f>COUNTIFS(Stappen!$K:$K, B13, Stappen!$O:$O, "No")</f>
        <v>1</v>
      </c>
      <c r="AZ13">
        <f>COUNTIFS(Stappen!$K:$K, B13, Stappen!$P:$P, "Yes")</f>
        <v>0</v>
      </c>
    </row>
    <row r="14" spans="1:52" ht="15" thickBot="1" x14ac:dyDescent="0.4">
      <c r="A14" s="4" t="s">
        <v>108</v>
      </c>
      <c r="B14" s="5" t="s">
        <v>124</v>
      </c>
      <c r="C14" s="2" t="s">
        <v>125</v>
      </c>
      <c r="G14" s="2" t="s">
        <v>124</v>
      </c>
      <c r="I14" s="2" t="s">
        <v>96</v>
      </c>
      <c r="J14" s="2" t="s">
        <v>3</v>
      </c>
      <c r="K14" s="2" t="s">
        <v>3</v>
      </c>
      <c r="S14" s="2" t="s">
        <v>38</v>
      </c>
      <c r="T14" s="2" t="s">
        <v>103</v>
      </c>
      <c r="W14" s="2" t="s">
        <v>4</v>
      </c>
      <c r="Y14" t="str">
        <f t="shared" si="0"/>
        <v/>
      </c>
      <c r="Z14" s="2" t="s">
        <v>4</v>
      </c>
      <c r="AA14" s="2" t="s">
        <v>126</v>
      </c>
      <c r="AE14" s="2" t="s">
        <v>3</v>
      </c>
      <c r="AF14" s="2" t="s">
        <v>3</v>
      </c>
      <c r="AT14" s="2" t="s">
        <v>89</v>
      </c>
      <c r="AU14" s="2" t="s">
        <v>90</v>
      </c>
      <c r="AV14" s="2" t="s">
        <v>114</v>
      </c>
      <c r="AW14" s="2" t="s">
        <v>23</v>
      </c>
      <c r="AX14" s="2" t="str">
        <f t="shared" si="1"/>
        <v>No</v>
      </c>
      <c r="AY14">
        <f>COUNTIFS(Stappen!$K:$K, B14, Stappen!$O:$O, "No")</f>
        <v>1</v>
      </c>
      <c r="AZ14">
        <f>COUNTIFS(Stappen!$K:$K, B14, Stappen!$P:$P, "Yes")</f>
        <v>0</v>
      </c>
    </row>
    <row r="15" spans="1:52" ht="15" thickBot="1" x14ac:dyDescent="0.4">
      <c r="A15" s="4" t="s">
        <v>14</v>
      </c>
      <c r="B15" s="5" t="s">
        <v>127</v>
      </c>
      <c r="C15" s="2" t="s">
        <v>128</v>
      </c>
      <c r="D15" s="2" t="s">
        <v>119</v>
      </c>
      <c r="G15" s="2" t="s">
        <v>127</v>
      </c>
      <c r="R15" s="2" t="s">
        <v>102</v>
      </c>
      <c r="S15" s="2" t="s">
        <v>38</v>
      </c>
      <c r="Y15" t="str">
        <f t="shared" si="0"/>
        <v/>
      </c>
      <c r="AG15" s="2" t="s">
        <v>111</v>
      </c>
      <c r="AT15" s="2" t="s">
        <v>89</v>
      </c>
      <c r="AU15" s="2" t="s">
        <v>90</v>
      </c>
      <c r="AV15" s="2" t="s">
        <v>124</v>
      </c>
      <c r="AW15" s="2" t="s">
        <v>125</v>
      </c>
      <c r="AX15" s="2" t="str">
        <f t="shared" si="1"/>
        <v>No</v>
      </c>
      <c r="AY15">
        <f>COUNTIFS(Stappen!$K:$K, B15, Stappen!$O:$O, "No")</f>
        <v>1</v>
      </c>
      <c r="AZ15">
        <f>COUNTIFS(Stappen!$K:$K, B15, Stappen!$P:$P, "Yes")</f>
        <v>0</v>
      </c>
    </row>
    <row r="16" spans="1:52" ht="15" thickBot="1" x14ac:dyDescent="0.4">
      <c r="A16" s="4" t="s">
        <v>108</v>
      </c>
      <c r="B16" s="5" t="s">
        <v>129</v>
      </c>
      <c r="C16" s="2" t="s">
        <v>130</v>
      </c>
      <c r="G16" s="2" t="s">
        <v>129</v>
      </c>
      <c r="I16" s="2" t="s">
        <v>96</v>
      </c>
      <c r="J16" s="2" t="s">
        <v>3</v>
      </c>
      <c r="K16" s="2" t="s">
        <v>3</v>
      </c>
      <c r="S16" s="2" t="s">
        <v>38</v>
      </c>
      <c r="T16" s="2" t="s">
        <v>103</v>
      </c>
      <c r="W16" s="2" t="s">
        <v>4</v>
      </c>
      <c r="Y16" t="str">
        <f t="shared" si="0"/>
        <v/>
      </c>
      <c r="Z16" s="2" t="s">
        <v>4</v>
      </c>
      <c r="AA16" s="2" t="s">
        <v>119</v>
      </c>
      <c r="AE16" s="2" t="s">
        <v>3</v>
      </c>
      <c r="AF16" s="2" t="s">
        <v>3</v>
      </c>
      <c r="AT16" s="2" t="s">
        <v>89</v>
      </c>
      <c r="AU16" s="2" t="s">
        <v>90</v>
      </c>
      <c r="AV16" s="2" t="s">
        <v>114</v>
      </c>
      <c r="AW16" s="2" t="s">
        <v>23</v>
      </c>
      <c r="AX16" s="2" t="str">
        <f t="shared" si="1"/>
        <v>No</v>
      </c>
      <c r="AY16">
        <f>COUNTIFS(Stappen!$K:$K, B16, Stappen!$O:$O, "No")</f>
        <v>1</v>
      </c>
      <c r="AZ16">
        <f>COUNTIFS(Stappen!$K:$K, B16, Stappen!$P:$P, "Yes")</f>
        <v>0</v>
      </c>
    </row>
    <row r="17" spans="1:52" ht="15" thickBot="1" x14ac:dyDescent="0.4">
      <c r="A17" s="4" t="s">
        <v>108</v>
      </c>
      <c r="B17" s="5" t="s">
        <v>131</v>
      </c>
      <c r="C17" s="2" t="s">
        <v>132</v>
      </c>
      <c r="G17" s="2" t="s">
        <v>131</v>
      </c>
      <c r="I17" s="2" t="s">
        <v>96</v>
      </c>
      <c r="J17" s="2" t="s">
        <v>3</v>
      </c>
      <c r="K17" s="2" t="s">
        <v>3</v>
      </c>
      <c r="S17" s="2" t="s">
        <v>38</v>
      </c>
      <c r="T17" s="2" t="s">
        <v>103</v>
      </c>
      <c r="W17" s="2" t="s">
        <v>4</v>
      </c>
      <c r="Y17" t="str">
        <f t="shared" si="0"/>
        <v/>
      </c>
      <c r="Z17" s="2" t="s">
        <v>4</v>
      </c>
      <c r="AA17" s="2" t="s">
        <v>119</v>
      </c>
      <c r="AE17" s="2" t="s">
        <v>3</v>
      </c>
      <c r="AF17" s="2" t="s">
        <v>3</v>
      </c>
      <c r="AT17" s="2" t="s">
        <v>89</v>
      </c>
      <c r="AU17" s="2" t="s">
        <v>90</v>
      </c>
      <c r="AV17" s="2" t="s">
        <v>114</v>
      </c>
      <c r="AW17" s="2" t="s">
        <v>23</v>
      </c>
      <c r="AX17" s="2" t="str">
        <f t="shared" si="1"/>
        <v>No</v>
      </c>
      <c r="AY17">
        <f>COUNTIFS(Stappen!$K:$K, B17, Stappen!$O:$O, "No")</f>
        <v>1</v>
      </c>
      <c r="AZ17">
        <f>COUNTIFS(Stappen!$K:$K, B17, Stappen!$P:$P, "Yes")</f>
        <v>0</v>
      </c>
    </row>
    <row r="18" spans="1:52" ht="15" thickBot="1" x14ac:dyDescent="0.4">
      <c r="A18" s="4" t="s">
        <v>93</v>
      </c>
      <c r="B18" s="5" t="s">
        <v>133</v>
      </c>
      <c r="C18" s="2" t="s">
        <v>2</v>
      </c>
      <c r="G18" s="2" t="s">
        <v>134</v>
      </c>
      <c r="I18" s="2" t="s">
        <v>96</v>
      </c>
      <c r="J18" s="2" t="s">
        <v>3</v>
      </c>
      <c r="K18" s="2" t="s">
        <v>3</v>
      </c>
      <c r="L18" s="2" t="s">
        <v>3</v>
      </c>
      <c r="M18" s="2" t="s">
        <v>3</v>
      </c>
      <c r="N18" s="2" t="s">
        <v>3</v>
      </c>
      <c r="Y18" t="str">
        <f t="shared" si="0"/>
        <v/>
      </c>
      <c r="AT18" s="2" t="s">
        <v>89</v>
      </c>
      <c r="AU18" s="2" t="s">
        <v>90</v>
      </c>
      <c r="AV18" s="2" t="s">
        <v>92</v>
      </c>
      <c r="AW18" s="2" t="s">
        <v>97</v>
      </c>
      <c r="AX18" s="2" t="str">
        <f t="shared" si="1"/>
        <v>No</v>
      </c>
      <c r="AY18">
        <f>COUNTIFS(Stappen!$K:$K, B18, Stappen!$O:$O, "No")</f>
        <v>1</v>
      </c>
      <c r="AZ18">
        <f>COUNTIFS(Stappen!$K:$K, B18, Stappen!$P:$P, "Yes")</f>
        <v>0</v>
      </c>
    </row>
    <row r="19" spans="1:52" ht="15" thickBot="1" x14ac:dyDescent="0.4">
      <c r="A19" s="4" t="s">
        <v>108</v>
      </c>
      <c r="B19" s="5" t="s">
        <v>135</v>
      </c>
      <c r="C19" s="2" t="s">
        <v>136</v>
      </c>
      <c r="G19" s="2" t="s">
        <v>135</v>
      </c>
      <c r="I19" s="2" t="s">
        <v>96</v>
      </c>
      <c r="J19" s="2" t="s">
        <v>3</v>
      </c>
      <c r="K19" s="2" t="s">
        <v>3</v>
      </c>
      <c r="S19" s="2" t="s">
        <v>38</v>
      </c>
      <c r="T19" s="2" t="s">
        <v>103</v>
      </c>
      <c r="W19" s="2" t="s">
        <v>4</v>
      </c>
      <c r="Y19" t="str">
        <f t="shared" si="0"/>
        <v/>
      </c>
      <c r="Z19" s="2" t="s">
        <v>4</v>
      </c>
      <c r="AA19" s="2" t="s">
        <v>126</v>
      </c>
      <c r="AE19" s="2" t="s">
        <v>3</v>
      </c>
      <c r="AF19" s="2" t="s">
        <v>3</v>
      </c>
      <c r="AT19" s="2" t="s">
        <v>89</v>
      </c>
      <c r="AU19" s="2" t="s">
        <v>90</v>
      </c>
      <c r="AV19" s="2" t="s">
        <v>134</v>
      </c>
      <c r="AW19" s="2" t="s">
        <v>2</v>
      </c>
      <c r="AX19" s="2" t="str">
        <f t="shared" si="1"/>
        <v>No</v>
      </c>
      <c r="AY19">
        <f>COUNTIFS(Stappen!$K:$K, B19, Stappen!$O:$O, "No")</f>
        <v>1</v>
      </c>
      <c r="AZ19">
        <f>COUNTIFS(Stappen!$K:$K, B19, Stappen!$P:$P, "Yes")</f>
        <v>0</v>
      </c>
    </row>
    <row r="20" spans="1:52" ht="15" thickBot="1" x14ac:dyDescent="0.4">
      <c r="A20" s="4" t="s">
        <v>108</v>
      </c>
      <c r="B20" s="5" t="s">
        <v>137</v>
      </c>
      <c r="C20" s="2" t="s">
        <v>138</v>
      </c>
      <c r="G20" s="2" t="s">
        <v>137</v>
      </c>
      <c r="I20" s="2" t="s">
        <v>96</v>
      </c>
      <c r="J20" s="2" t="s">
        <v>3</v>
      </c>
      <c r="K20" s="2" t="s">
        <v>3</v>
      </c>
      <c r="S20" s="2" t="s">
        <v>38</v>
      </c>
      <c r="T20" s="2" t="s">
        <v>103</v>
      </c>
      <c r="W20" s="2" t="s">
        <v>4</v>
      </c>
      <c r="Y20" t="str">
        <f t="shared" si="0"/>
        <v/>
      </c>
      <c r="Z20" s="2" t="s">
        <v>4</v>
      </c>
      <c r="AA20" s="2" t="s">
        <v>139</v>
      </c>
      <c r="AE20" s="2" t="s">
        <v>3</v>
      </c>
      <c r="AF20" s="2" t="s">
        <v>3</v>
      </c>
      <c r="AT20" s="2" t="s">
        <v>89</v>
      </c>
      <c r="AU20" s="2" t="s">
        <v>90</v>
      </c>
      <c r="AV20" s="2" t="s">
        <v>134</v>
      </c>
      <c r="AW20" s="2" t="s">
        <v>2</v>
      </c>
      <c r="AX20" s="2" t="str">
        <f t="shared" si="1"/>
        <v>No</v>
      </c>
      <c r="AY20">
        <f>COUNTIFS(Stappen!$K:$K, B20, Stappen!$O:$O, "No")</f>
        <v>1</v>
      </c>
      <c r="AZ20">
        <f>COUNTIFS(Stappen!$K:$K, B20, Stappen!$P:$P, "Yes")</f>
        <v>0</v>
      </c>
    </row>
    <row r="21" spans="1:52" ht="15" thickBot="1" x14ac:dyDescent="0.4">
      <c r="A21" s="4" t="s">
        <v>108</v>
      </c>
      <c r="B21" s="5" t="s">
        <v>140</v>
      </c>
      <c r="C21" s="2" t="s">
        <v>125</v>
      </c>
      <c r="G21" s="2" t="s">
        <v>140</v>
      </c>
      <c r="I21" s="2" t="s">
        <v>96</v>
      </c>
      <c r="J21" s="2" t="s">
        <v>3</v>
      </c>
      <c r="K21" s="2" t="s">
        <v>3</v>
      </c>
      <c r="S21" s="2" t="s">
        <v>38</v>
      </c>
      <c r="T21" s="2" t="s">
        <v>103</v>
      </c>
      <c r="W21" s="2" t="s">
        <v>4</v>
      </c>
      <c r="Y21" t="str">
        <f t="shared" si="0"/>
        <v/>
      </c>
      <c r="Z21" s="2" t="s">
        <v>4</v>
      </c>
      <c r="AA21" s="2" t="s">
        <v>126</v>
      </c>
      <c r="AE21" s="2" t="s">
        <v>3</v>
      </c>
      <c r="AF21" s="2" t="s">
        <v>3</v>
      </c>
      <c r="AT21" s="2" t="s">
        <v>89</v>
      </c>
      <c r="AU21" s="2" t="s">
        <v>90</v>
      </c>
      <c r="AV21" s="2" t="s">
        <v>134</v>
      </c>
      <c r="AW21" s="2" t="s">
        <v>2</v>
      </c>
      <c r="AX21" s="2" t="str">
        <f t="shared" si="1"/>
        <v>No</v>
      </c>
      <c r="AY21">
        <f>COUNTIFS(Stappen!$K:$K, B21, Stappen!$O:$O, "No")</f>
        <v>1</v>
      </c>
      <c r="AZ21">
        <f>COUNTIFS(Stappen!$K:$K, B21, Stappen!$P:$P, "Yes")</f>
        <v>0</v>
      </c>
    </row>
    <row r="22" spans="1:52" ht="15" thickBot="1" x14ac:dyDescent="0.4">
      <c r="A22" s="4" t="s">
        <v>14</v>
      </c>
      <c r="B22" s="5" t="s">
        <v>141</v>
      </c>
      <c r="C22" s="2" t="s">
        <v>128</v>
      </c>
      <c r="D22" s="2" t="s">
        <v>119</v>
      </c>
      <c r="G22" s="2" t="s">
        <v>141</v>
      </c>
      <c r="R22" s="2" t="s">
        <v>102</v>
      </c>
      <c r="S22" s="2" t="s">
        <v>38</v>
      </c>
      <c r="Y22" t="str">
        <f t="shared" si="0"/>
        <v/>
      </c>
      <c r="AG22" s="2" t="s">
        <v>111</v>
      </c>
      <c r="AT22" s="2" t="s">
        <v>89</v>
      </c>
      <c r="AU22" s="2" t="s">
        <v>90</v>
      </c>
      <c r="AV22" s="2" t="s">
        <v>140</v>
      </c>
      <c r="AW22" s="2" t="s">
        <v>125</v>
      </c>
      <c r="AX22" s="2" t="str">
        <f t="shared" si="1"/>
        <v>No</v>
      </c>
      <c r="AY22">
        <f>COUNTIFS(Stappen!$K:$K, B22, Stappen!$O:$O, "No")</f>
        <v>1</v>
      </c>
      <c r="AZ22">
        <f>COUNTIFS(Stappen!$K:$K, B22, Stappen!$P:$P, "Yes")</f>
        <v>0</v>
      </c>
    </row>
    <row r="23" spans="1:52" ht="15" thickBot="1" x14ac:dyDescent="0.4">
      <c r="A23" s="4" t="s">
        <v>108</v>
      </c>
      <c r="B23" s="5" t="s">
        <v>142</v>
      </c>
      <c r="C23" s="2" t="s">
        <v>143</v>
      </c>
      <c r="G23" s="2" t="s">
        <v>142</v>
      </c>
      <c r="I23" s="2" t="s">
        <v>96</v>
      </c>
      <c r="J23" s="2" t="s">
        <v>3</v>
      </c>
      <c r="K23" s="2" t="s">
        <v>3</v>
      </c>
      <c r="S23" s="2" t="s">
        <v>38</v>
      </c>
      <c r="T23" s="2" t="s">
        <v>103</v>
      </c>
      <c r="W23" s="2" t="s">
        <v>4</v>
      </c>
      <c r="Y23" t="str">
        <f t="shared" si="0"/>
        <v/>
      </c>
      <c r="Z23" s="2" t="s">
        <v>4</v>
      </c>
      <c r="AA23" s="2" t="s">
        <v>119</v>
      </c>
      <c r="AE23" s="2" t="s">
        <v>3</v>
      </c>
      <c r="AF23" s="2" t="s">
        <v>3</v>
      </c>
      <c r="AT23" s="2" t="s">
        <v>89</v>
      </c>
      <c r="AU23" s="2" t="s">
        <v>90</v>
      </c>
      <c r="AV23" s="2" t="s">
        <v>134</v>
      </c>
      <c r="AW23" s="2" t="s">
        <v>2</v>
      </c>
      <c r="AX23" s="2" t="str">
        <f t="shared" si="1"/>
        <v>No</v>
      </c>
      <c r="AY23">
        <f>COUNTIFS(Stappen!$K:$K, B23, Stappen!$O:$O, "No")</f>
        <v>1</v>
      </c>
      <c r="AZ23">
        <f>COUNTIFS(Stappen!$K:$K, B23, Stappen!$P:$P, "Yes")</f>
        <v>0</v>
      </c>
    </row>
    <row r="24" spans="1:52" ht="15" thickBot="1" x14ac:dyDescent="0.4">
      <c r="A24" s="4" t="s">
        <v>108</v>
      </c>
      <c r="B24" s="5" t="s">
        <v>144</v>
      </c>
      <c r="C24" s="2" t="s">
        <v>130</v>
      </c>
      <c r="G24" s="2" t="s">
        <v>144</v>
      </c>
      <c r="I24" s="2" t="s">
        <v>96</v>
      </c>
      <c r="J24" s="2" t="s">
        <v>3</v>
      </c>
      <c r="K24" s="2" t="s">
        <v>3</v>
      </c>
      <c r="S24" s="2" t="s">
        <v>38</v>
      </c>
      <c r="T24" s="2" t="s">
        <v>103</v>
      </c>
      <c r="W24" s="2" t="s">
        <v>4</v>
      </c>
      <c r="Y24" t="str">
        <f t="shared" si="0"/>
        <v/>
      </c>
      <c r="Z24" s="2" t="s">
        <v>4</v>
      </c>
      <c r="AA24" s="2" t="s">
        <v>119</v>
      </c>
      <c r="AE24" s="2" t="s">
        <v>3</v>
      </c>
      <c r="AF24" s="2" t="s">
        <v>3</v>
      </c>
      <c r="AT24" s="2" t="s">
        <v>89</v>
      </c>
      <c r="AU24" s="2" t="s">
        <v>90</v>
      </c>
      <c r="AV24" s="2" t="s">
        <v>134</v>
      </c>
      <c r="AW24" s="2" t="s">
        <v>2</v>
      </c>
      <c r="AX24" s="2" t="str">
        <f t="shared" si="1"/>
        <v>No</v>
      </c>
      <c r="AY24">
        <f>COUNTIFS(Stappen!$K:$K, B24, Stappen!$O:$O, "No")</f>
        <v>1</v>
      </c>
      <c r="AZ24">
        <f>COUNTIFS(Stappen!$K:$K, B24, Stappen!$P:$P, "Yes")</f>
        <v>0</v>
      </c>
    </row>
    <row r="25" spans="1:52" ht="15" thickBot="1" x14ac:dyDescent="0.4">
      <c r="A25" s="4" t="s">
        <v>108</v>
      </c>
      <c r="B25" s="5" t="s">
        <v>145</v>
      </c>
      <c r="C25" s="2" t="s">
        <v>146</v>
      </c>
      <c r="G25" s="2" t="s">
        <v>145</v>
      </c>
      <c r="I25" s="2" t="s">
        <v>96</v>
      </c>
      <c r="J25" s="2" t="s">
        <v>3</v>
      </c>
      <c r="K25" s="2" t="s">
        <v>3</v>
      </c>
      <c r="S25" s="2" t="s">
        <v>38</v>
      </c>
      <c r="T25" s="2" t="s">
        <v>103</v>
      </c>
      <c r="W25" s="2" t="s">
        <v>4</v>
      </c>
      <c r="Y25" t="str">
        <f t="shared" si="0"/>
        <v/>
      </c>
      <c r="Z25" s="2" t="s">
        <v>4</v>
      </c>
      <c r="AA25" s="2" t="s">
        <v>100</v>
      </c>
      <c r="AE25" s="2" t="s">
        <v>3</v>
      </c>
      <c r="AF25" s="2" t="s">
        <v>3</v>
      </c>
      <c r="AT25" s="2" t="s">
        <v>89</v>
      </c>
      <c r="AU25" s="2" t="s">
        <v>90</v>
      </c>
      <c r="AV25" s="2" t="s">
        <v>134</v>
      </c>
      <c r="AW25" s="2" t="s">
        <v>2</v>
      </c>
      <c r="AX25" s="2" t="str">
        <f t="shared" si="1"/>
        <v>No</v>
      </c>
      <c r="AY25">
        <f>COUNTIFS(Stappen!$K:$K, B25, Stappen!$O:$O, "No")</f>
        <v>1</v>
      </c>
      <c r="AZ25">
        <f>COUNTIFS(Stappen!$K:$K, B25, Stappen!$P:$P, "Yes")</f>
        <v>0</v>
      </c>
    </row>
    <row r="26" spans="1:52" ht="15" thickBot="1" x14ac:dyDescent="0.4">
      <c r="A26" s="4" t="s">
        <v>108</v>
      </c>
      <c r="B26" s="5" t="s">
        <v>147</v>
      </c>
      <c r="C26" s="2" t="s">
        <v>132</v>
      </c>
      <c r="G26" s="2" t="s">
        <v>147</v>
      </c>
      <c r="I26" s="2" t="s">
        <v>96</v>
      </c>
      <c r="J26" s="2" t="s">
        <v>3</v>
      </c>
      <c r="K26" s="2" t="s">
        <v>3</v>
      </c>
      <c r="S26" s="2" t="s">
        <v>38</v>
      </c>
      <c r="T26" s="2" t="s">
        <v>103</v>
      </c>
      <c r="W26" s="2" t="s">
        <v>4</v>
      </c>
      <c r="Y26" t="str">
        <f t="shared" si="0"/>
        <v/>
      </c>
      <c r="Z26" s="2" t="s">
        <v>4</v>
      </c>
      <c r="AA26" s="2" t="s">
        <v>119</v>
      </c>
      <c r="AE26" s="2" t="s">
        <v>3</v>
      </c>
      <c r="AF26" s="2" t="s">
        <v>3</v>
      </c>
      <c r="AT26" s="2" t="s">
        <v>89</v>
      </c>
      <c r="AU26" s="2" t="s">
        <v>90</v>
      </c>
      <c r="AV26" s="2" t="s">
        <v>134</v>
      </c>
      <c r="AW26" s="2" t="s">
        <v>2</v>
      </c>
      <c r="AX26" s="2" t="str">
        <f t="shared" si="1"/>
        <v>No</v>
      </c>
      <c r="AY26">
        <f>COUNTIFS(Stappen!$K:$K, B26, Stappen!$O:$O, "No")</f>
        <v>1</v>
      </c>
      <c r="AZ26">
        <f>COUNTIFS(Stappen!$K:$K, B26, Stappen!$P:$P, "Yes")</f>
        <v>0</v>
      </c>
    </row>
    <row r="27" spans="1:52" ht="15" thickBot="1" x14ac:dyDescent="0.4">
      <c r="A27" s="4" t="s">
        <v>148</v>
      </c>
      <c r="B27" s="5" t="s">
        <v>149</v>
      </c>
      <c r="G27" s="2" t="s">
        <v>150</v>
      </c>
      <c r="I27" s="2" t="s">
        <v>102</v>
      </c>
      <c r="J27" s="2" t="s">
        <v>3</v>
      </c>
      <c r="K27" s="2" t="s">
        <v>3</v>
      </c>
      <c r="V27" s="2" t="s">
        <v>3</v>
      </c>
      <c r="Y27" t="str">
        <f t="shared" si="0"/>
        <v/>
      </c>
      <c r="AI27" s="2" t="s">
        <v>113</v>
      </c>
      <c r="AK27" s="2" t="s">
        <v>102</v>
      </c>
      <c r="AL27" s="2" t="s">
        <v>151</v>
      </c>
      <c r="AM27" s="2" t="s">
        <v>104</v>
      </c>
      <c r="AN27" s="2" t="s">
        <v>94</v>
      </c>
      <c r="AO27" s="2" t="s">
        <v>152</v>
      </c>
      <c r="AP27" s="2" t="s">
        <v>89</v>
      </c>
      <c r="AQ27" s="2" t="s">
        <v>153</v>
      </c>
      <c r="AR27" s="2" t="s">
        <v>104</v>
      </c>
      <c r="AT27" s="2" t="s">
        <v>89</v>
      </c>
      <c r="AU27" s="2" t="s">
        <v>90</v>
      </c>
      <c r="AV27" s="2" t="s">
        <v>154</v>
      </c>
      <c r="AW27" s="2" t="s">
        <v>148</v>
      </c>
      <c r="AX27" s="2" t="str">
        <f t="shared" si="1"/>
        <v>No</v>
      </c>
      <c r="AY27">
        <f>COUNTIFS(Stappen!$K:$K, B27, Stappen!$O:$O, "No")</f>
        <v>2</v>
      </c>
      <c r="AZ27">
        <f>COUNTIFS(Stappen!$K:$K, B27, Stappen!$P:$P, "Yes")</f>
        <v>0</v>
      </c>
    </row>
    <row r="28" spans="1:52" ht="15" thickBot="1" x14ac:dyDescent="0.4">
      <c r="A28" s="4" t="s">
        <v>148</v>
      </c>
      <c r="B28" s="5" t="s">
        <v>155</v>
      </c>
      <c r="G28" s="2" t="s">
        <v>156</v>
      </c>
      <c r="I28" s="2" t="s">
        <v>102</v>
      </c>
      <c r="J28" s="2" t="s">
        <v>3</v>
      </c>
      <c r="K28" s="2" t="s">
        <v>3</v>
      </c>
      <c r="V28" s="2" t="s">
        <v>3</v>
      </c>
      <c r="Y28" t="str">
        <f t="shared" si="0"/>
        <v/>
      </c>
      <c r="AI28" s="2" t="s">
        <v>113</v>
      </c>
      <c r="AK28" s="2" t="s">
        <v>102</v>
      </c>
      <c r="AL28" s="2" t="s">
        <v>151</v>
      </c>
      <c r="AM28" s="2" t="s">
        <v>104</v>
      </c>
      <c r="AN28" s="2" t="s">
        <v>94</v>
      </c>
      <c r="AO28" s="2" t="s">
        <v>157</v>
      </c>
      <c r="AP28" s="2" t="s">
        <v>158</v>
      </c>
      <c r="AQ28" s="2" t="s">
        <v>153</v>
      </c>
      <c r="AR28" s="2" t="s">
        <v>104</v>
      </c>
      <c r="AT28" s="2" t="s">
        <v>89</v>
      </c>
      <c r="AU28" s="2" t="s">
        <v>90</v>
      </c>
      <c r="AV28" s="2" t="s">
        <v>154</v>
      </c>
      <c r="AW28" s="2" t="s">
        <v>148</v>
      </c>
      <c r="AX28" s="2" t="str">
        <f t="shared" si="1"/>
        <v>No</v>
      </c>
      <c r="AY28">
        <f>COUNTIFS(Stappen!$K:$K, B28, Stappen!$O:$O, "No")</f>
        <v>2</v>
      </c>
      <c r="AZ28">
        <f>COUNTIFS(Stappen!$K:$K, B28, Stappen!$P:$P, "Yes")</f>
        <v>0</v>
      </c>
    </row>
    <row r="29" spans="1:52" ht="15" thickBot="1" x14ac:dyDescent="0.4">
      <c r="A29" s="4" t="s">
        <v>148</v>
      </c>
      <c r="B29" s="5" t="s">
        <v>159</v>
      </c>
      <c r="G29" s="2" t="s">
        <v>160</v>
      </c>
      <c r="I29" s="2" t="s">
        <v>102</v>
      </c>
      <c r="J29" s="2" t="s">
        <v>3</v>
      </c>
      <c r="K29" s="2" t="s">
        <v>3</v>
      </c>
      <c r="V29" s="2" t="s">
        <v>3</v>
      </c>
      <c r="Y29" t="str">
        <f t="shared" si="0"/>
        <v/>
      </c>
      <c r="AI29" s="2" t="s">
        <v>133</v>
      </c>
      <c r="AK29" s="2" t="s">
        <v>102</v>
      </c>
      <c r="AL29" s="2" t="s">
        <v>151</v>
      </c>
      <c r="AM29" s="2" t="s">
        <v>104</v>
      </c>
      <c r="AN29" s="2" t="s">
        <v>113</v>
      </c>
      <c r="AO29" s="2" t="s">
        <v>128</v>
      </c>
      <c r="AP29" s="2" t="s">
        <v>161</v>
      </c>
      <c r="AQ29" s="2" t="s">
        <v>153</v>
      </c>
      <c r="AR29" s="2" t="s">
        <v>104</v>
      </c>
      <c r="AT29" s="2" t="s">
        <v>89</v>
      </c>
      <c r="AU29" s="2" t="s">
        <v>90</v>
      </c>
      <c r="AV29" s="2" t="s">
        <v>154</v>
      </c>
      <c r="AW29" s="2" t="s">
        <v>148</v>
      </c>
      <c r="AX29" s="2" t="str">
        <f t="shared" si="1"/>
        <v>No</v>
      </c>
      <c r="AY29">
        <f>COUNTIFS(Stappen!$K:$K, B29, Stappen!$O:$O, "No")</f>
        <v>1</v>
      </c>
      <c r="AZ29">
        <f>COUNTIFS(Stappen!$K:$K, B29, Stappen!$P:$P, "Yes")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Stappen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Fien Spriet</dc:creator>
  <cp:lastModifiedBy>Fien Spriet</cp:lastModifiedBy>
  <dcterms:created xsi:type="dcterms:W3CDTF">2015-06-05T18:17:20Z</dcterms:created>
  <dcterms:modified xsi:type="dcterms:W3CDTF">2025-11-01T16:44:20Z</dcterms:modified>
</cp:coreProperties>
</file>