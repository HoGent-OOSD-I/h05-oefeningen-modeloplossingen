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spr805\Documents\Git projecten\OOSD I\H05\H05_oefOpl\"/>
    </mc:Choice>
  </mc:AlternateContent>
  <xr:revisionPtr revIDLastSave="0" documentId="13_ncr:1_{03A27E62-45B6-43BC-BD2A-5AF6D1BABFE7}" xr6:coauthVersionLast="47" xr6:coauthVersionMax="47" xr10:uidLastSave="{00000000-0000-0000-0000-000000000000}"/>
  <bookViews>
    <workbookView xWindow="1090" yWindow="2240" windowWidth="14400" windowHeight="7280" xr2:uid="{00000000-000D-0000-FFFF-FFFF00000000}"/>
  </bookViews>
  <sheets>
    <sheet name="DCD domein" sheetId="1" r:id="rId1"/>
    <sheet name="References" sheetId="2" r:id="rId2"/>
    <sheet name="Diagram Parent Model" sheetId="3" r:id="rId3"/>
    <sheet name="System Data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6" i="1" l="1"/>
  <c r="Y7" i="1"/>
  <c r="Y8" i="1"/>
  <c r="Y9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" i="1"/>
  <c r="AZ13" i="1" l="1"/>
  <c r="BA3" i="1"/>
  <c r="BA17" i="1"/>
  <c r="AY7" i="1"/>
  <c r="AX7" i="1" s="1"/>
  <c r="AY13" i="1"/>
  <c r="AX13" i="1" s="1"/>
  <c r="AY18" i="1"/>
  <c r="AX18" i="1" s="1"/>
  <c r="AZ25" i="1"/>
  <c r="AY5" i="1"/>
  <c r="AX5" i="1" s="1"/>
  <c r="AY29" i="1"/>
  <c r="AX29" i="1" s="1"/>
  <c r="BA5" i="1"/>
  <c r="AY15" i="1"/>
  <c r="AX15" i="1" s="1"/>
  <c r="AZ21" i="1"/>
  <c r="AY10" i="1"/>
  <c r="AX10" i="1" s="1"/>
  <c r="AZ19" i="1"/>
  <c r="BA11" i="1"/>
  <c r="AZ6" i="1"/>
  <c r="AZ17" i="1"/>
  <c r="BA21" i="1"/>
  <c r="AZ24" i="1"/>
  <c r="BA29" i="1"/>
  <c r="BA25" i="1"/>
  <c r="AY27" i="1"/>
  <c r="AX27" i="1" s="1"/>
  <c r="AY8" i="1"/>
  <c r="AX8" i="1" s="1"/>
  <c r="AZ3" i="1"/>
  <c r="BA9" i="1"/>
  <c r="AZ8" i="1"/>
  <c r="AY9" i="1"/>
  <c r="AX9" i="1" s="1"/>
  <c r="BA16" i="1"/>
  <c r="AZ16" i="1"/>
  <c r="BA7" i="1"/>
  <c r="AZ18" i="1"/>
  <c r="AY4" i="1"/>
  <c r="AX4" i="1" s="1"/>
  <c r="AZ27" i="1"/>
  <c r="BA4" i="1"/>
  <c r="AY19" i="1"/>
  <c r="AX19" i="1" s="1"/>
  <c r="AZ5" i="1"/>
  <c r="Y5" i="1" s="1"/>
  <c r="BA19" i="1"/>
  <c r="AZ20" i="1"/>
  <c r="AY22" i="1"/>
  <c r="AX22" i="1" s="1"/>
  <c r="AY25" i="1"/>
  <c r="AX25" i="1" s="1"/>
  <c r="AY28" i="1"/>
  <c r="AX28" i="1" s="1"/>
  <c r="AZ22" i="1"/>
  <c r="BA6" i="1"/>
  <c r="AZ15" i="1"/>
  <c r="AZ29" i="1"/>
  <c r="AY21" i="1"/>
  <c r="AX21" i="1" s="1"/>
  <c r="AY6" i="1"/>
  <c r="AX6" i="1" s="1"/>
  <c r="BA13" i="1"/>
  <c r="BA28" i="1"/>
  <c r="BA26" i="1"/>
  <c r="AY20" i="1"/>
  <c r="AX20" i="1" s="1"/>
  <c r="BA24" i="1"/>
  <c r="AZ4" i="1"/>
  <c r="Y4" i="1" s="1"/>
  <c r="BA23" i="1"/>
  <c r="AY11" i="1"/>
  <c r="AX11" i="1" s="1"/>
  <c r="AY26" i="1"/>
  <c r="AX26" i="1" s="1"/>
  <c r="AY23" i="1"/>
  <c r="AX23" i="1" s="1"/>
  <c r="BA15" i="1"/>
  <c r="AZ11" i="1"/>
  <c r="Y11" i="1" s="1"/>
  <c r="BA27" i="1"/>
  <c r="BA22" i="1"/>
  <c r="AY3" i="1"/>
  <c r="AX3" i="1" s="1"/>
  <c r="AZ14" i="1"/>
  <c r="AZ7" i="1"/>
  <c r="AY14" i="1"/>
  <c r="AX14" i="1" s="1"/>
  <c r="BA8" i="1"/>
  <c r="AZ26" i="1"/>
  <c r="BA18" i="1"/>
  <c r="AY17" i="1"/>
  <c r="AX17" i="1" s="1"/>
  <c r="BA20" i="1"/>
  <c r="AZ12" i="1"/>
  <c r="AZ28" i="1"/>
  <c r="AZ10" i="1"/>
  <c r="Y10" i="1" s="1"/>
  <c r="AZ9" i="1"/>
  <c r="AY12" i="1"/>
  <c r="AX12" i="1" s="1"/>
  <c r="BA12" i="1"/>
  <c r="BA14" i="1"/>
  <c r="AZ23" i="1"/>
  <c r="BA10" i="1"/>
  <c r="AO27" i="1" l="1"/>
  <c r="AQ27" i="1"/>
  <c r="AP27" i="1"/>
  <c r="AL27" i="1"/>
  <c r="AL29" i="1"/>
  <c r="AO29" i="1"/>
  <c r="AP29" i="1"/>
  <c r="AQ29" i="1"/>
  <c r="AL28" i="1"/>
  <c r="AP28" i="1"/>
  <c r="AQ28" i="1"/>
  <c r="AO28" i="1"/>
  <c r="AY24" i="1" l="1"/>
  <c r="AX24" i="1" s="1"/>
  <c r="AY16" i="1" l="1"/>
  <c r="AX16" i="1" s="1"/>
</calcChain>
</file>

<file path=xl/sharedStrings.xml><?xml version="1.0" encoding="utf-8"?>
<sst xmlns="http://schemas.openxmlformats.org/spreadsheetml/2006/main" count="637" uniqueCount="178">
  <si>
    <t/>
  </si>
  <si>
    <t>ID</t>
  </si>
  <si>
    <t>Name</t>
  </si>
  <si>
    <t>Type</t>
  </si>
  <si>
    <t>Description</t>
  </si>
  <si>
    <t>Parent Model</t>
  </si>
  <si>
    <t>Model ID</t>
  </si>
  <si>
    <t>Stereotypes</t>
  </si>
  <si>
    <t>Visibility</t>
  </si>
  <si>
    <t>Abstract</t>
  </si>
  <si>
    <t>Leaf</t>
  </si>
  <si>
    <t>Root</t>
  </si>
  <si>
    <t>Active</t>
  </si>
  <si>
    <t>Business model</t>
  </si>
  <si>
    <t>Transit From</t>
  </si>
  <si>
    <t>Transit To</t>
  </si>
  <si>
    <t>Initial value</t>
  </si>
  <si>
    <t>Multiplicity</t>
  </si>
  <si>
    <t>Type Modifier</t>
  </si>
  <si>
    <t>Scope</t>
  </si>
  <si>
    <t>Aggregation</t>
  </si>
  <si>
    <t>Derived</t>
  </si>
  <si>
    <t>Visible</t>
  </si>
  <si>
    <t>Setter</t>
  </si>
  <si>
    <t>Getter</t>
  </si>
  <si>
    <t>Unique</t>
  </si>
  <si>
    <t>Return type</t>
  </si>
  <si>
    <t>Lower</t>
  </si>
  <si>
    <t>Upper</t>
  </si>
  <si>
    <t>Body condition</t>
  </si>
  <si>
    <t>Query</t>
  </si>
  <si>
    <t>Ordered</t>
  </si>
  <si>
    <t>Direction</t>
  </si>
  <si>
    <t>Default Value</t>
  </si>
  <si>
    <t>From</t>
  </si>
  <si>
    <t>From Role</t>
  </si>
  <si>
    <t>From Multiplicity</t>
  </si>
  <si>
    <t>From Navigable</t>
  </si>
  <si>
    <t>From Aggregation Kind</t>
  </si>
  <si>
    <t>To</t>
  </si>
  <si>
    <t>To Role</t>
  </si>
  <si>
    <t>To Multiplicity</t>
  </si>
  <si>
    <t>To Navigable</t>
  </si>
  <si>
    <t>To Aggregation Kind</t>
  </si>
  <si>
    <t>ORM Collection Type</t>
  </si>
  <si>
    <t>Diagram ID</t>
  </si>
  <si>
    <t>Diagram Name</t>
  </si>
  <si>
    <t>Parent ID</t>
  </si>
  <si>
    <t>Parent Name</t>
  </si>
  <si>
    <t>Delete ?</t>
  </si>
  <si>
    <t>Diagram</t>
  </si>
  <si>
    <t>1</t>
  </si>
  <si>
    <t>DCD domein</t>
  </si>
  <si>
    <t>ClassDiagram</t>
  </si>
  <si>
    <t>2</t>
  </si>
  <si>
    <t>No</t>
  </si>
  <si>
    <t>Class</t>
  </si>
  <si>
    <t>3</t>
  </si>
  <si>
    <t>Kaart</t>
  </si>
  <si>
    <t>4</t>
  </si>
  <si>
    <t>public</t>
  </si>
  <si>
    <t>domein</t>
  </si>
  <si>
    <t>Attribute</t>
  </si>
  <si>
    <t>5</t>
  </si>
  <si>
    <t>waarde</t>
  </si>
  <si>
    <t>int</t>
  </si>
  <si>
    <t>private</t>
  </si>
  <si>
    <t>Unspecified</t>
  </si>
  <si>
    <t>instance</t>
  </si>
  <si>
    <t>None</t>
  </si>
  <si>
    <t>Yes</t>
  </si>
  <si>
    <t>6</t>
  </si>
  <si>
    <t>kleur</t>
  </si>
  <si>
    <t>String</t>
  </si>
  <si>
    <t>Operation</t>
  </si>
  <si>
    <t>7</t>
  </si>
  <si>
    <t>Parameter</t>
  </si>
  <si>
    <t>8</t>
  </si>
  <si>
    <t>inout</t>
  </si>
  <si>
    <t>9</t>
  </si>
  <si>
    <t>10</t>
  </si>
  <si>
    <t>HogerLager</t>
  </si>
  <si>
    <t>11</t>
  </si>
  <si>
    <t>12</t>
  </si>
  <si>
    <t>score</t>
  </si>
  <si>
    <t>13</t>
  </si>
  <si>
    <t>correctGeraden</t>
  </si>
  <si>
    <t>boolean</t>
  </si>
  <si>
    <t>14</t>
  </si>
  <si>
    <t>15</t>
  </si>
  <si>
    <t>getHuidigeKaart</t>
  </si>
  <si>
    <t>Design Model.domein.Kaart</t>
  </si>
  <si>
    <t>16</t>
  </si>
  <si>
    <t>raadHogerLager</t>
  </si>
  <si>
    <t>void</t>
  </si>
  <si>
    <t>17</t>
  </si>
  <si>
    <t>hogerLager</t>
  </si>
  <si>
    <t>18</t>
  </si>
  <si>
    <t>isEindeSpel</t>
  </si>
  <si>
    <t>19</t>
  </si>
  <si>
    <t>isGewonnen</t>
  </si>
  <si>
    <t>20</t>
  </si>
  <si>
    <t>DomeinController</t>
  </si>
  <si>
    <t>21</t>
  </si>
  <si>
    <t>22</t>
  </si>
  <si>
    <t>startHogerLager</t>
  </si>
  <si>
    <t>23</t>
  </si>
  <si>
    <t>geefHuidigeKaart</t>
  </si>
  <si>
    <t>KaartDTO</t>
  </si>
  <si>
    <t>24</t>
  </si>
  <si>
    <t>25</t>
  </si>
  <si>
    <t>26</t>
  </si>
  <si>
    <t>isCorrectGeraden</t>
  </si>
  <si>
    <t>27</t>
  </si>
  <si>
    <t>28</t>
  </si>
  <si>
    <t>geefScore</t>
  </si>
  <si>
    <t>29</t>
  </si>
  <si>
    <t>Association</t>
  </si>
  <si>
    <t>30</t>
  </si>
  <si>
    <t>31</t>
  </si>
  <si>
    <t>32</t>
  </si>
  <si>
    <t>33</t>
  </si>
  <si>
    <t>34</t>
  </si>
  <si>
    <t>35</t>
  </si>
  <si>
    <t>36</t>
  </si>
  <si>
    <t>References</t>
  </si>
  <si>
    <t>Reference ID</t>
  </si>
  <si>
    <t>Reference Name</t>
  </si>
  <si>
    <t>URL</t>
  </si>
  <si>
    <t>Diagram Parent Model</t>
  </si>
  <si>
    <t>Package</t>
  </si>
  <si>
    <t>37</t>
  </si>
  <si>
    <t>Design Model</t>
  </si>
  <si>
    <t>Model</t>
  </si>
  <si>
    <t>WARNING: Do NOT modify this sheet</t>
  </si>
  <si>
    <t>20250813</t>
  </si>
  <si>
    <t>false</t>
  </si>
  <si>
    <t>757d0a8a90ab837e02b16a2111f9cd84</t>
  </si>
  <si>
    <t>D7Fq_96GAqAAwhbm</t>
  </si>
  <si>
    <t>YFxq_96GAqAAwhba</t>
  </si>
  <si>
    <t>dotq_96GAqAAwhb_</t>
  </si>
  <si>
    <t>dotq_96GAqAAwhcA</t>
  </si>
  <si>
    <t>fqrq_96GAqAAwhcJ</t>
  </si>
  <si>
    <t>V7rq_96GAqAAwhcO</t>
  </si>
  <si>
    <t>Wo3q_96GAqAAwhdY</t>
  </si>
  <si>
    <t>1Evq_96GAqAAwhdc</t>
  </si>
  <si>
    <t>tEvq_96GAqAAwhdd</t>
  </si>
  <si>
    <t>HINq_96GAqAAwhb4</t>
  </si>
  <si>
    <t>HINq_96GAqAAwhb5</t>
  </si>
  <si>
    <t>yLha_96GAqAAwhgO</t>
  </si>
  <si>
    <t>haAH8sGGAqAAywrC</t>
  </si>
  <si>
    <t>iq1a_96GAqAAwhgZ</t>
  </si>
  <si>
    <t>nBNa_96GAqAAwhgd</t>
  </si>
  <si>
    <t>f8za_96GAqAAwhgh</t>
  </si>
  <si>
    <t>hZra_96GAqAAwhgj</t>
  </si>
  <si>
    <t>xZra_96GAqAAwhgk</t>
  </si>
  <si>
    <t>147a_96GAqAAwhgm</t>
  </si>
  <si>
    <t>VU1q_96GAqAAwhbx</t>
  </si>
  <si>
    <t>1U1q_96GAqAAwhby</t>
  </si>
  <si>
    <t>Nmg6_96GAqAAwhgs</t>
  </si>
  <si>
    <t>YFQ6_96GAqAAwhgu</t>
  </si>
  <si>
    <t>6mI6_96GAqAAwhgw</t>
  </si>
  <si>
    <t>SVE6_96GAqAAwhg0</t>
  </si>
  <si>
    <t>uec6_96GAqAAwhg5</t>
  </si>
  <si>
    <t>YzC6_96GAqAAwhg7</t>
  </si>
  <si>
    <t>94K6_96GAqAAwhg9</t>
  </si>
  <si>
    <t>Y4q6_96GAqAAwhg_</t>
  </si>
  <si>
    <t>FkUa_96GAqAAwhfk</t>
  </si>
  <si>
    <t>ukUa_96GAqAAwhff</t>
  </si>
  <si>
    <t>0Gya_96GAqAAwhf5</t>
  </si>
  <si>
    <t>Kw0a_96GAqAAwhfs</t>
  </si>
  <si>
    <t>4w0a_96GAqAAwhfn</t>
  </si>
  <si>
    <t>CxG6_96GAqAAwhhM</t>
  </si>
  <si>
    <t>wxG6_96GAqAAwhhH</t>
  </si>
  <si>
    <t>i3.q_96GAqAAwhW_</t>
  </si>
  <si>
    <t>Count delete</t>
  </si>
  <si>
    <t>Count getter</t>
  </si>
  <si>
    <t>Count details 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</si>
</sst>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10"/>
      <name val="Calibri"/>
      <family val="2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2" xfId="0" applyFont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2" fillId="0" borderId="1" xfId="0" applyFont="1" applyBorder="1"/>
    <xf numFmtId="0" fontId="1" fillId="0" borderId="1" xfId="0" applyFont="1" applyBorder="1"/>
    <xf numFmtId="0" fontId="3" fillId="0" borderId="1" xfId="0" applyFont="1" applyBorder="1"/>
    <xf numFmtId="0" fontId="4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spr805\Documents\Git%20projecten\OOSD%20I\H05\H05_oefOpl\hogerLager_stappen.xlsx" TargetMode="External"/><Relationship Id="rId1" Type="http://schemas.openxmlformats.org/officeDocument/2006/relationships/externalLinkPath" Target="hogerLager_stapp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ppen"/>
      <sheetName val="Export"/>
    </sheetNames>
    <sheetDataSet>
      <sheetData sheetId="0">
        <row r="1">
          <cell r="K1" t="str">
            <v>ID VP (nr)</v>
          </cell>
          <cell r="O1" t="str">
            <v>waarde AX</v>
          </cell>
          <cell r="P1" t="str">
            <v>waarde AH</v>
          </cell>
          <cell r="Q1" t="str">
            <v>Count yes details</v>
          </cell>
        </row>
        <row r="2">
          <cell r="K2" t="str">
            <v>20</v>
          </cell>
          <cell r="O2" t="str">
            <v>No</v>
          </cell>
          <cell r="P2" t="str">
            <v/>
          </cell>
          <cell r="Q2" t="str">
            <v/>
          </cell>
        </row>
        <row r="3">
          <cell r="K3" t="str">
            <v>22</v>
          </cell>
          <cell r="O3" t="str">
            <v>No</v>
          </cell>
          <cell r="P3" t="str">
            <v/>
          </cell>
          <cell r="Q3" t="str">
            <v/>
          </cell>
        </row>
        <row r="4">
          <cell r="K4" t="str">
            <v>10</v>
          </cell>
          <cell r="O4" t="str">
            <v>No</v>
          </cell>
          <cell r="P4" t="str">
            <v/>
          </cell>
          <cell r="Q4" t="str">
            <v/>
          </cell>
        </row>
        <row r="5">
          <cell r="B5" t="str">
            <v/>
          </cell>
          <cell r="K5" t="str">
            <v>12</v>
          </cell>
          <cell r="O5" t="str">
            <v>No</v>
          </cell>
          <cell r="P5" t="str">
            <v>No</v>
          </cell>
          <cell r="Q5" t="str">
            <v/>
          </cell>
        </row>
        <row r="6">
          <cell r="B6" t="str">
            <v>Unspecified</v>
          </cell>
          <cell r="K6" t="str">
            <v>14</v>
          </cell>
          <cell r="O6" t="str">
            <v>No</v>
          </cell>
          <cell r="P6" t="str">
            <v/>
          </cell>
          <cell r="Q6" t="str">
            <v/>
          </cell>
        </row>
        <row r="7">
          <cell r="B7" t="str">
            <v>Unspecified</v>
          </cell>
          <cell r="K7" t="str">
            <v>35</v>
          </cell>
          <cell r="O7" t="str">
            <v>No</v>
          </cell>
          <cell r="P7" t="str">
            <v/>
          </cell>
          <cell r="Q7" t="str">
            <v>Yes</v>
          </cell>
        </row>
        <row r="8">
          <cell r="K8" t="str">
            <v>3</v>
          </cell>
          <cell r="O8" t="str">
            <v>No</v>
          </cell>
          <cell r="P8" t="str">
            <v/>
          </cell>
          <cell r="Q8" t="str">
            <v/>
          </cell>
        </row>
        <row r="9">
          <cell r="K9" t="str">
            <v>5</v>
          </cell>
          <cell r="O9" t="str">
            <v>No</v>
          </cell>
          <cell r="P9" t="str">
            <v>No</v>
          </cell>
          <cell r="Q9" t="str">
            <v/>
          </cell>
        </row>
        <row r="10">
          <cell r="K10" t="str">
            <v>6</v>
          </cell>
          <cell r="O10" t="str">
            <v>No</v>
          </cell>
          <cell r="P10" t="str">
            <v>No</v>
          </cell>
          <cell r="Q10" t="str">
            <v/>
          </cell>
        </row>
        <row r="11">
          <cell r="K11" t="str">
            <v>30</v>
          </cell>
          <cell r="O11" t="str">
            <v>No</v>
          </cell>
          <cell r="P11" t="str">
            <v/>
          </cell>
          <cell r="Q11" t="str">
            <v>No</v>
          </cell>
        </row>
        <row r="12">
          <cell r="K12" t="str">
            <v>33</v>
          </cell>
          <cell r="O12" t="str">
            <v>No</v>
          </cell>
          <cell r="P12" t="str">
            <v/>
          </cell>
          <cell r="Q12" t="str">
            <v>No</v>
          </cell>
        </row>
        <row r="13">
          <cell r="K13" t="str">
            <v>7</v>
          </cell>
          <cell r="O13" t="str">
            <v>No</v>
          </cell>
          <cell r="P13" t="str">
            <v/>
          </cell>
          <cell r="Q13" t="str">
            <v/>
          </cell>
        </row>
        <row r="14">
          <cell r="K14" t="str">
            <v>8</v>
          </cell>
          <cell r="O14" t="str">
            <v>No</v>
          </cell>
          <cell r="P14" t="str">
            <v/>
          </cell>
          <cell r="Q14" t="str">
            <v/>
          </cell>
        </row>
        <row r="15">
          <cell r="K15" t="str">
            <v>9</v>
          </cell>
          <cell r="O15" t="str">
            <v>No</v>
          </cell>
          <cell r="P15" t="str">
            <v/>
          </cell>
          <cell r="Q15" t="str">
            <v/>
          </cell>
        </row>
        <row r="16">
          <cell r="K16" t="str">
            <v>30</v>
          </cell>
          <cell r="O16" t="str">
            <v>No</v>
          </cell>
          <cell r="P16" t="str">
            <v/>
          </cell>
          <cell r="Q16" t="str">
            <v>Yes</v>
          </cell>
        </row>
        <row r="17">
          <cell r="K17" t="str">
            <v>33</v>
          </cell>
          <cell r="O17" t="str">
            <v>No</v>
          </cell>
          <cell r="P17" t="str">
            <v/>
          </cell>
          <cell r="Q17" t="str">
            <v>Yes</v>
          </cell>
        </row>
        <row r="18">
          <cell r="K18" t="str">
            <v>23</v>
          </cell>
          <cell r="O18" t="str">
            <v>No</v>
          </cell>
          <cell r="P18" t="str">
            <v/>
          </cell>
        </row>
        <row r="19">
          <cell r="K19" t="str">
            <v>15</v>
          </cell>
          <cell r="O19" t="str">
            <v>No</v>
          </cell>
          <cell r="P19" t="str">
            <v/>
          </cell>
        </row>
        <row r="20">
          <cell r="K20" t="str">
            <v>5</v>
          </cell>
          <cell r="O20" t="str">
            <v>No</v>
          </cell>
          <cell r="P20" t="str">
            <v>Yes</v>
          </cell>
        </row>
        <row r="21">
          <cell r="K21" t="str">
            <v>6</v>
          </cell>
          <cell r="O21" t="str">
            <v>No</v>
          </cell>
          <cell r="P21" t="str">
            <v>Yes</v>
          </cell>
        </row>
        <row r="22">
          <cell r="K22" t="str">
            <v>24</v>
          </cell>
          <cell r="O22" t="str">
            <v>No</v>
          </cell>
          <cell r="P22" t="str">
            <v/>
          </cell>
        </row>
        <row r="23">
          <cell r="K23" t="str">
            <v>25</v>
          </cell>
          <cell r="O23" t="str">
            <v>No</v>
          </cell>
          <cell r="P23" t="str">
            <v/>
          </cell>
        </row>
        <row r="24">
          <cell r="K24" t="str">
            <v>16</v>
          </cell>
          <cell r="O24" t="str">
            <v>No</v>
          </cell>
          <cell r="P24" t="str">
            <v/>
          </cell>
        </row>
        <row r="25">
          <cell r="K25" t="str">
            <v>17</v>
          </cell>
          <cell r="O25" t="str">
            <v>No</v>
          </cell>
          <cell r="P25" t="str">
            <v/>
          </cell>
        </row>
        <row r="26">
          <cell r="K26" t="str">
            <v>13</v>
          </cell>
          <cell r="O26" t="str">
            <v>No</v>
          </cell>
          <cell r="P26" t="str">
            <v>No</v>
          </cell>
        </row>
        <row r="27">
          <cell r="K27" t="str">
            <v>26</v>
          </cell>
          <cell r="O27" t="str">
            <v>No</v>
          </cell>
          <cell r="P27" t="str">
            <v/>
          </cell>
        </row>
        <row r="28">
          <cell r="K28" t="str">
            <v>13</v>
          </cell>
          <cell r="O28" t="str">
            <v>No</v>
          </cell>
          <cell r="P28" t="str">
            <v>Yes</v>
          </cell>
        </row>
        <row r="29">
          <cell r="K29" t="str">
            <v>28</v>
          </cell>
          <cell r="O29" t="str">
            <v>No</v>
          </cell>
          <cell r="P29" t="str">
            <v/>
          </cell>
        </row>
        <row r="30">
          <cell r="K30" t="str">
            <v>12</v>
          </cell>
          <cell r="O30" t="str">
            <v>No</v>
          </cell>
          <cell r="P30" t="str">
            <v>Yes</v>
          </cell>
        </row>
        <row r="31">
          <cell r="K31" t="str">
            <v>29</v>
          </cell>
          <cell r="O31" t="str">
            <v>No</v>
          </cell>
          <cell r="P31" t="str">
            <v/>
          </cell>
        </row>
        <row r="32">
          <cell r="K32" t="str">
            <v>19</v>
          </cell>
          <cell r="O32" t="str">
            <v>No</v>
          </cell>
          <cell r="P32" t="str">
            <v>No</v>
          </cell>
        </row>
        <row r="33">
          <cell r="K33" t="str">
            <v>27</v>
          </cell>
          <cell r="O33" t="str">
            <v>No</v>
          </cell>
          <cell r="P33" t="str">
            <v/>
          </cell>
        </row>
        <row r="34">
          <cell r="K34" t="str">
            <v>18</v>
          </cell>
          <cell r="O34" t="str">
            <v>No</v>
          </cell>
          <cell r="P34" t="str">
            <v/>
          </cell>
        </row>
      </sheetData>
      <sheetData sheetId="1">
        <row r="1">
          <cell r="B1" t="str">
            <v>ID</v>
          </cell>
          <cell r="C1" t="str">
            <v>Name</v>
          </cell>
          <cell r="D1" t="str">
            <v>Type</v>
          </cell>
          <cell r="E1" t="str">
            <v>Description</v>
          </cell>
          <cell r="F1" t="str">
            <v>Parent Model</v>
          </cell>
          <cell r="G1" t="str">
            <v>Model ID</v>
          </cell>
          <cell r="H1" t="str">
            <v>Stereotypes</v>
          </cell>
          <cell r="I1" t="str">
            <v>Visibility</v>
          </cell>
          <cell r="J1" t="str">
            <v>Abstract</v>
          </cell>
          <cell r="K1" t="str">
            <v>Leaf</v>
          </cell>
          <cell r="L1" t="str">
            <v>Root</v>
          </cell>
          <cell r="M1" t="str">
            <v>Active</v>
          </cell>
          <cell r="N1" t="str">
            <v>Business model</v>
          </cell>
          <cell r="O1" t="str">
            <v>Transit From</v>
          </cell>
          <cell r="P1" t="str">
            <v>Transit To</v>
          </cell>
          <cell r="Q1" t="str">
            <v>Initial value</v>
          </cell>
          <cell r="R1" t="str">
            <v>Multiplicity</v>
          </cell>
          <cell r="S1" t="str">
            <v>Type Modifier</v>
          </cell>
          <cell r="T1" t="str">
            <v>Scope</v>
          </cell>
          <cell r="U1" t="str">
            <v>Aggregation</v>
          </cell>
          <cell r="V1" t="str">
            <v>Derived</v>
          </cell>
          <cell r="W1" t="str">
            <v>Visible</v>
          </cell>
          <cell r="X1" t="str">
            <v>Setter</v>
          </cell>
          <cell r="Y1" t="str">
            <v>Getter</v>
          </cell>
          <cell r="Z1" t="str">
            <v>Unique</v>
          </cell>
          <cell r="AA1" t="str">
            <v>Return type</v>
          </cell>
          <cell r="AB1" t="str">
            <v>Lower</v>
          </cell>
          <cell r="AC1" t="str">
            <v>Upper</v>
          </cell>
          <cell r="AD1" t="str">
            <v>Body condition</v>
          </cell>
          <cell r="AE1" t="str">
            <v>Query</v>
          </cell>
          <cell r="AF1" t="str">
            <v>Ordered</v>
          </cell>
          <cell r="AG1" t="str">
            <v>Direction</v>
          </cell>
          <cell r="AH1" t="str">
            <v>Default Value</v>
          </cell>
          <cell r="AI1" t="str">
            <v>From</v>
          </cell>
          <cell r="AJ1" t="str">
            <v>From Role</v>
          </cell>
          <cell r="AK1" t="str">
            <v>From Multiplicity</v>
          </cell>
          <cell r="AL1" t="str">
            <v>From Navigable</v>
          </cell>
          <cell r="AM1" t="str">
            <v>From Aggregation Kind</v>
          </cell>
          <cell r="AN1" t="str">
            <v>To</v>
          </cell>
          <cell r="AO1" t="str">
            <v>To Role</v>
          </cell>
          <cell r="AP1" t="str">
            <v>To Multiplicity</v>
          </cell>
          <cell r="AQ1" t="str">
            <v>To Navigable</v>
          </cell>
          <cell r="AR1" t="str">
            <v>To Aggregation Kind</v>
          </cell>
        </row>
        <row r="2">
          <cell r="B2" t="str">
            <v>1</v>
          </cell>
          <cell r="C2" t="str">
            <v>DCD domein</v>
          </cell>
          <cell r="D2" t="str">
            <v>ClassDiagram</v>
          </cell>
          <cell r="E2" t="str">
            <v/>
          </cell>
          <cell r="F2" t="str">
            <v>2</v>
          </cell>
        </row>
        <row r="3">
          <cell r="B3" t="str">
            <v>3</v>
          </cell>
          <cell r="C3" t="str">
            <v>Kaart</v>
          </cell>
          <cell r="G3" t="str">
            <v>4</v>
          </cell>
          <cell r="I3" t="str">
            <v>public</v>
          </cell>
          <cell r="J3" t="str">
            <v>No</v>
          </cell>
          <cell r="K3" t="str">
            <v>No</v>
          </cell>
          <cell r="L3" t="str">
            <v>No</v>
          </cell>
          <cell r="M3" t="str">
            <v>No</v>
          </cell>
          <cell r="N3" t="str">
            <v>No</v>
          </cell>
          <cell r="Y3" t="str">
            <v/>
          </cell>
        </row>
        <row r="4">
          <cell r="B4" t="str">
            <v>5</v>
          </cell>
          <cell r="C4" t="str">
            <v>waarde</v>
          </cell>
          <cell r="D4" t="str">
            <v>int</v>
          </cell>
          <cell r="G4" t="str">
            <v>5</v>
          </cell>
          <cell r="I4" t="str">
            <v>private</v>
          </cell>
          <cell r="J4" t="str">
            <v>No</v>
          </cell>
          <cell r="R4" t="str">
            <v>Unspecified</v>
          </cell>
          <cell r="S4" t="str">
            <v/>
          </cell>
          <cell r="T4" t="str">
            <v>instance</v>
          </cell>
          <cell r="U4" t="str">
            <v>None</v>
          </cell>
          <cell r="V4" t="str">
            <v>No</v>
          </cell>
          <cell r="W4" t="str">
            <v>Yes</v>
          </cell>
          <cell r="X4" t="str">
            <v>No</v>
          </cell>
          <cell r="Y4" t="str">
            <v>Yes</v>
          </cell>
          <cell r="Z4" t="str">
            <v>Yes</v>
          </cell>
        </row>
        <row r="5">
          <cell r="B5" t="str">
            <v>6</v>
          </cell>
          <cell r="C5" t="str">
            <v>kleur</v>
          </cell>
          <cell r="D5" t="str">
            <v>String</v>
          </cell>
          <cell r="G5" t="str">
            <v>6</v>
          </cell>
          <cell r="I5" t="str">
            <v>private</v>
          </cell>
          <cell r="J5" t="str">
            <v>No</v>
          </cell>
          <cell r="R5" t="str">
            <v>Unspecified</v>
          </cell>
          <cell r="S5" t="str">
            <v/>
          </cell>
          <cell r="T5" t="str">
            <v>instance</v>
          </cell>
          <cell r="U5" t="str">
            <v>None</v>
          </cell>
          <cell r="V5" t="str">
            <v>No</v>
          </cell>
          <cell r="W5" t="str">
            <v>Yes</v>
          </cell>
          <cell r="X5" t="str">
            <v>No</v>
          </cell>
          <cell r="Y5" t="str">
            <v>Yes</v>
          </cell>
          <cell r="Z5" t="str">
            <v>Yes</v>
          </cell>
        </row>
        <row r="6">
          <cell r="B6" t="str">
            <v>7</v>
          </cell>
          <cell r="C6" t="str">
            <v>Kaart</v>
          </cell>
          <cell r="G6" t="str">
            <v>7</v>
          </cell>
          <cell r="I6" t="str">
            <v>public</v>
          </cell>
          <cell r="J6" t="str">
            <v>No</v>
          </cell>
          <cell r="K6" t="str">
            <v>No</v>
          </cell>
          <cell r="S6" t="str">
            <v/>
          </cell>
          <cell r="T6" t="str">
            <v>instance</v>
          </cell>
          <cell r="W6" t="str">
            <v>Yes</v>
          </cell>
          <cell r="Y6" t="str">
            <v/>
          </cell>
          <cell r="Z6" t="str">
            <v>Yes</v>
          </cell>
          <cell r="AE6" t="str">
            <v>No</v>
          </cell>
          <cell r="AF6" t="str">
            <v>No</v>
          </cell>
        </row>
        <row r="7">
          <cell r="B7" t="str">
            <v>8</v>
          </cell>
          <cell r="C7" t="str">
            <v>waarde</v>
          </cell>
          <cell r="D7" t="str">
            <v>int</v>
          </cell>
          <cell r="G7" t="str">
            <v>8</v>
          </cell>
          <cell r="R7" t="str">
            <v>Unspecified</v>
          </cell>
          <cell r="S7" t="str">
            <v/>
          </cell>
          <cell r="Y7" t="str">
            <v/>
          </cell>
          <cell r="AG7" t="str">
            <v>inout</v>
          </cell>
        </row>
        <row r="8">
          <cell r="B8" t="str">
            <v>9</v>
          </cell>
          <cell r="C8" t="str">
            <v>kleur</v>
          </cell>
          <cell r="D8" t="str">
            <v>String</v>
          </cell>
          <cell r="G8" t="str">
            <v>9</v>
          </cell>
          <cell r="R8" t="str">
            <v>Unspecified</v>
          </cell>
          <cell r="S8" t="str">
            <v/>
          </cell>
          <cell r="Y8" t="str">
            <v/>
          </cell>
          <cell r="AG8" t="str">
            <v>inout</v>
          </cell>
        </row>
        <row r="9">
          <cell r="B9" t="str">
            <v>10</v>
          </cell>
          <cell r="C9" t="str">
            <v>HogerLager</v>
          </cell>
          <cell r="G9" t="str">
            <v>11</v>
          </cell>
          <cell r="I9" t="str">
            <v>public</v>
          </cell>
          <cell r="J9" t="str">
            <v>No</v>
          </cell>
          <cell r="K9" t="str">
            <v>No</v>
          </cell>
          <cell r="L9" t="str">
            <v>No</v>
          </cell>
          <cell r="M9" t="str">
            <v>No</v>
          </cell>
          <cell r="N9" t="str">
            <v>No</v>
          </cell>
          <cell r="Y9" t="str">
            <v/>
          </cell>
        </row>
        <row r="10">
          <cell r="B10" t="str">
            <v>12</v>
          </cell>
          <cell r="C10" t="str">
            <v>score</v>
          </cell>
          <cell r="D10" t="str">
            <v>int</v>
          </cell>
          <cell r="G10" t="str">
            <v>12</v>
          </cell>
          <cell r="I10" t="str">
            <v>private</v>
          </cell>
          <cell r="J10" t="str">
            <v>No</v>
          </cell>
          <cell r="R10" t="str">
            <v>Unspecified</v>
          </cell>
          <cell r="S10" t="str">
            <v/>
          </cell>
          <cell r="T10" t="str">
            <v>instance</v>
          </cell>
          <cell r="U10" t="str">
            <v>None</v>
          </cell>
          <cell r="V10" t="str">
            <v>No</v>
          </cell>
          <cell r="W10" t="str">
            <v>Yes</v>
          </cell>
          <cell r="X10" t="str">
            <v>No</v>
          </cell>
          <cell r="Y10" t="str">
            <v>Yes</v>
          </cell>
          <cell r="Z10" t="str">
            <v>Yes</v>
          </cell>
        </row>
        <row r="11">
          <cell r="B11" t="str">
            <v>13</v>
          </cell>
          <cell r="C11" t="str">
            <v>correctGeraden</v>
          </cell>
          <cell r="D11" t="str">
            <v>boolean</v>
          </cell>
          <cell r="G11" t="str">
            <v>13</v>
          </cell>
          <cell r="I11" t="str">
            <v>private</v>
          </cell>
          <cell r="J11" t="str">
            <v>No</v>
          </cell>
          <cell r="R11" t="str">
            <v>Unspecified</v>
          </cell>
          <cell r="S11" t="str">
            <v/>
          </cell>
          <cell r="T11" t="str">
            <v>instance</v>
          </cell>
          <cell r="U11" t="str">
            <v>None</v>
          </cell>
          <cell r="V11" t="str">
            <v>No</v>
          </cell>
          <cell r="W11" t="str">
            <v>Yes</v>
          </cell>
          <cell r="X11" t="str">
            <v>No</v>
          </cell>
          <cell r="Y11" t="str">
            <v>Yes</v>
          </cell>
          <cell r="Z11" t="str">
            <v>Yes</v>
          </cell>
        </row>
        <row r="12">
          <cell r="B12" t="str">
            <v>14</v>
          </cell>
          <cell r="C12" t="str">
            <v>HogerLager</v>
          </cell>
          <cell r="G12" t="str">
            <v>14</v>
          </cell>
          <cell r="I12" t="str">
            <v>public</v>
          </cell>
          <cell r="J12" t="str">
            <v>No</v>
          </cell>
          <cell r="K12" t="str">
            <v>No</v>
          </cell>
          <cell r="S12" t="str">
            <v/>
          </cell>
          <cell r="T12" t="str">
            <v>instance</v>
          </cell>
          <cell r="W12" t="str">
            <v>Yes</v>
          </cell>
          <cell r="Y12" t="str">
            <v/>
          </cell>
          <cell r="Z12" t="str">
            <v>Yes</v>
          </cell>
          <cell r="AE12" t="str">
            <v>No</v>
          </cell>
          <cell r="AF12" t="str">
            <v>No</v>
          </cell>
        </row>
        <row r="13">
          <cell r="B13" t="str">
            <v>15</v>
          </cell>
          <cell r="C13" t="str">
            <v>getHuidigeKaart</v>
          </cell>
          <cell r="G13" t="str">
            <v>15</v>
          </cell>
          <cell r="I13" t="str">
            <v>public</v>
          </cell>
          <cell r="J13" t="str">
            <v>No</v>
          </cell>
          <cell r="K13" t="str">
            <v>No</v>
          </cell>
          <cell r="S13" t="str">
            <v/>
          </cell>
          <cell r="T13" t="str">
            <v>instance</v>
          </cell>
          <cell r="W13" t="str">
            <v>Yes</v>
          </cell>
          <cell r="Y13" t="str">
            <v/>
          </cell>
          <cell r="Z13" t="str">
            <v>Yes</v>
          </cell>
          <cell r="AA13" t="str">
            <v>Design Model.domein.Kaart</v>
          </cell>
          <cell r="AE13" t="str">
            <v>No</v>
          </cell>
          <cell r="AF13" t="str">
            <v>No</v>
          </cell>
        </row>
        <row r="14">
          <cell r="B14" t="str">
            <v>16</v>
          </cell>
          <cell r="C14" t="str">
            <v>raadHogerLager</v>
          </cell>
          <cell r="G14" t="str">
            <v>16</v>
          </cell>
          <cell r="I14" t="str">
            <v>public</v>
          </cell>
          <cell r="J14" t="str">
            <v>No</v>
          </cell>
          <cell r="K14" t="str">
            <v>No</v>
          </cell>
          <cell r="S14" t="str">
            <v/>
          </cell>
          <cell r="T14" t="str">
            <v>instance</v>
          </cell>
          <cell r="W14" t="str">
            <v>Yes</v>
          </cell>
          <cell r="Y14" t="str">
            <v/>
          </cell>
          <cell r="Z14" t="str">
            <v>Yes</v>
          </cell>
          <cell r="AA14" t="str">
            <v>void</v>
          </cell>
          <cell r="AE14" t="str">
            <v>No</v>
          </cell>
          <cell r="AF14" t="str">
            <v>No</v>
          </cell>
        </row>
        <row r="15">
          <cell r="B15" t="str">
            <v>17</v>
          </cell>
          <cell r="C15" t="str">
            <v>hogerLager</v>
          </cell>
          <cell r="D15" t="str">
            <v>boolean</v>
          </cell>
          <cell r="G15" t="str">
            <v>17</v>
          </cell>
          <cell r="R15" t="str">
            <v>Unspecified</v>
          </cell>
          <cell r="S15" t="str">
            <v/>
          </cell>
          <cell r="Y15" t="str">
            <v/>
          </cell>
          <cell r="AG15" t="str">
            <v>inout</v>
          </cell>
        </row>
        <row r="16">
          <cell r="B16" t="str">
            <v>18</v>
          </cell>
          <cell r="C16" t="str">
            <v>isEindeSpel</v>
          </cell>
          <cell r="G16" t="str">
            <v>18</v>
          </cell>
          <cell r="I16" t="str">
            <v>public</v>
          </cell>
          <cell r="J16" t="str">
            <v>No</v>
          </cell>
          <cell r="K16" t="str">
            <v>No</v>
          </cell>
          <cell r="S16" t="str">
            <v/>
          </cell>
          <cell r="T16" t="str">
            <v>instance</v>
          </cell>
          <cell r="W16" t="str">
            <v>Yes</v>
          </cell>
          <cell r="Y16" t="str">
            <v/>
          </cell>
          <cell r="Z16" t="str">
            <v>Yes</v>
          </cell>
          <cell r="AA16" t="str">
            <v>boolean</v>
          </cell>
          <cell r="AE16" t="str">
            <v>No</v>
          </cell>
          <cell r="AF16" t="str">
            <v>No</v>
          </cell>
        </row>
        <row r="17">
          <cell r="B17" t="str">
            <v>19</v>
          </cell>
          <cell r="C17" t="str">
            <v>isGewonnen</v>
          </cell>
          <cell r="G17" t="str">
            <v>19</v>
          </cell>
          <cell r="I17" t="str">
            <v>public</v>
          </cell>
          <cell r="J17" t="str">
            <v>No</v>
          </cell>
          <cell r="K17" t="str">
            <v>No</v>
          </cell>
          <cell r="S17" t="str">
            <v/>
          </cell>
          <cell r="T17" t="str">
            <v>instance</v>
          </cell>
          <cell r="W17" t="str">
            <v>Yes</v>
          </cell>
          <cell r="Y17" t="str">
            <v/>
          </cell>
          <cell r="Z17" t="str">
            <v>Yes</v>
          </cell>
          <cell r="AA17" t="str">
            <v>boolean</v>
          </cell>
          <cell r="AE17" t="str">
            <v>No</v>
          </cell>
          <cell r="AF17" t="str">
            <v>No</v>
          </cell>
        </row>
        <row r="18">
          <cell r="B18" t="str">
            <v>20</v>
          </cell>
          <cell r="C18" t="str">
            <v>DomeinController</v>
          </cell>
          <cell r="G18" t="str">
            <v>21</v>
          </cell>
          <cell r="I18" t="str">
            <v>public</v>
          </cell>
          <cell r="J18" t="str">
            <v>No</v>
          </cell>
          <cell r="K18" t="str">
            <v>No</v>
          </cell>
          <cell r="L18" t="str">
            <v>No</v>
          </cell>
          <cell r="M18" t="str">
            <v>No</v>
          </cell>
          <cell r="N18" t="str">
            <v>No</v>
          </cell>
          <cell r="Y18" t="str">
            <v/>
          </cell>
        </row>
        <row r="19">
          <cell r="B19" t="str">
            <v>22</v>
          </cell>
          <cell r="C19" t="str">
            <v>startHogerLager</v>
          </cell>
          <cell r="G19" t="str">
            <v>22</v>
          </cell>
          <cell r="I19" t="str">
            <v>public</v>
          </cell>
          <cell r="J19" t="str">
            <v>No</v>
          </cell>
          <cell r="K19" t="str">
            <v>No</v>
          </cell>
          <cell r="S19" t="str">
            <v/>
          </cell>
          <cell r="T19" t="str">
            <v>instance</v>
          </cell>
          <cell r="W19" t="str">
            <v>Yes</v>
          </cell>
          <cell r="Y19" t="str">
            <v/>
          </cell>
          <cell r="Z19" t="str">
            <v>Yes</v>
          </cell>
          <cell r="AA19" t="str">
            <v>void</v>
          </cell>
          <cell r="AE19" t="str">
            <v>No</v>
          </cell>
          <cell r="AF19" t="str">
            <v>No</v>
          </cell>
        </row>
        <row r="20">
          <cell r="B20" t="str">
            <v>23</v>
          </cell>
          <cell r="C20" t="str">
            <v>geefHuidigeKaart</v>
          </cell>
          <cell r="G20" t="str">
            <v>23</v>
          </cell>
          <cell r="I20" t="str">
            <v>public</v>
          </cell>
          <cell r="J20" t="str">
            <v>No</v>
          </cell>
          <cell r="K20" t="str">
            <v>No</v>
          </cell>
          <cell r="S20" t="str">
            <v/>
          </cell>
          <cell r="T20" t="str">
            <v>instance</v>
          </cell>
          <cell r="W20" t="str">
            <v>Yes</v>
          </cell>
          <cell r="Y20" t="str">
            <v/>
          </cell>
          <cell r="Z20" t="str">
            <v>Yes</v>
          </cell>
          <cell r="AA20" t="str">
            <v>KaartDTO</v>
          </cell>
          <cell r="AE20" t="str">
            <v>No</v>
          </cell>
          <cell r="AF20" t="str">
            <v>No</v>
          </cell>
        </row>
        <row r="21">
          <cell r="B21" t="str">
            <v>24</v>
          </cell>
          <cell r="C21" t="str">
            <v>raadHogerLager</v>
          </cell>
          <cell r="G21" t="str">
            <v>24</v>
          </cell>
          <cell r="I21" t="str">
            <v>public</v>
          </cell>
          <cell r="J21" t="str">
            <v>No</v>
          </cell>
          <cell r="K21" t="str">
            <v>No</v>
          </cell>
          <cell r="S21" t="str">
            <v/>
          </cell>
          <cell r="T21" t="str">
            <v>instance</v>
          </cell>
          <cell r="W21" t="str">
            <v>Yes</v>
          </cell>
          <cell r="Y21" t="str">
            <v/>
          </cell>
          <cell r="Z21" t="str">
            <v>Yes</v>
          </cell>
          <cell r="AA21" t="str">
            <v>void</v>
          </cell>
          <cell r="AE21" t="str">
            <v>No</v>
          </cell>
          <cell r="AF21" t="str">
            <v>No</v>
          </cell>
        </row>
        <row r="22">
          <cell r="B22" t="str">
            <v>25</v>
          </cell>
          <cell r="C22" t="str">
            <v>hogerLager</v>
          </cell>
          <cell r="D22" t="str">
            <v>boolean</v>
          </cell>
          <cell r="G22" t="str">
            <v>25</v>
          </cell>
          <cell r="R22" t="str">
            <v>Unspecified</v>
          </cell>
          <cell r="S22" t="str">
            <v/>
          </cell>
          <cell r="Y22" t="str">
            <v/>
          </cell>
          <cell r="AG22" t="str">
            <v>inout</v>
          </cell>
        </row>
        <row r="23">
          <cell r="B23" t="str">
            <v>26</v>
          </cell>
          <cell r="C23" t="str">
            <v>isCorrectGeraden</v>
          </cell>
          <cell r="G23" t="str">
            <v>26</v>
          </cell>
          <cell r="I23" t="str">
            <v>public</v>
          </cell>
          <cell r="J23" t="str">
            <v>No</v>
          </cell>
          <cell r="K23" t="str">
            <v>No</v>
          </cell>
          <cell r="S23" t="str">
            <v/>
          </cell>
          <cell r="T23" t="str">
            <v>instance</v>
          </cell>
          <cell r="W23" t="str">
            <v>Yes</v>
          </cell>
          <cell r="Y23" t="str">
            <v/>
          </cell>
          <cell r="Z23" t="str">
            <v>Yes</v>
          </cell>
          <cell r="AA23" t="str">
            <v>boolean</v>
          </cell>
          <cell r="AE23" t="str">
            <v>No</v>
          </cell>
          <cell r="AF23" t="str">
            <v>No</v>
          </cell>
        </row>
        <row r="24">
          <cell r="B24" t="str">
            <v>27</v>
          </cell>
          <cell r="C24" t="str">
            <v>isEindeSpel</v>
          </cell>
          <cell r="G24" t="str">
            <v>27</v>
          </cell>
          <cell r="I24" t="str">
            <v>public</v>
          </cell>
          <cell r="J24" t="str">
            <v>No</v>
          </cell>
          <cell r="K24" t="str">
            <v>No</v>
          </cell>
          <cell r="S24" t="str">
            <v/>
          </cell>
          <cell r="T24" t="str">
            <v>instance</v>
          </cell>
          <cell r="W24" t="str">
            <v>Yes</v>
          </cell>
          <cell r="Y24" t="str">
            <v/>
          </cell>
          <cell r="Z24" t="str">
            <v>Yes</v>
          </cell>
          <cell r="AA24" t="str">
            <v>boolean</v>
          </cell>
          <cell r="AE24" t="str">
            <v>No</v>
          </cell>
          <cell r="AF24" t="str">
            <v>No</v>
          </cell>
        </row>
        <row r="25">
          <cell r="B25" t="str">
            <v>28</v>
          </cell>
          <cell r="C25" t="str">
            <v>geefScore</v>
          </cell>
          <cell r="G25" t="str">
            <v>28</v>
          </cell>
          <cell r="I25" t="str">
            <v>public</v>
          </cell>
          <cell r="J25" t="str">
            <v>No</v>
          </cell>
          <cell r="K25" t="str">
            <v>No</v>
          </cell>
          <cell r="S25" t="str">
            <v/>
          </cell>
          <cell r="T25" t="str">
            <v>instance</v>
          </cell>
          <cell r="W25" t="str">
            <v>Yes</v>
          </cell>
          <cell r="Y25" t="str">
            <v/>
          </cell>
          <cell r="Z25" t="str">
            <v>Yes</v>
          </cell>
          <cell r="AA25" t="str">
            <v>int</v>
          </cell>
          <cell r="AE25" t="str">
            <v>No</v>
          </cell>
          <cell r="AF25" t="str">
            <v>No</v>
          </cell>
        </row>
        <row r="26">
          <cell r="B26" t="str">
            <v>29</v>
          </cell>
          <cell r="C26" t="str">
            <v>isGewonnen</v>
          </cell>
          <cell r="G26" t="str">
            <v>29</v>
          </cell>
          <cell r="I26" t="str">
            <v>public</v>
          </cell>
          <cell r="J26" t="str">
            <v>No</v>
          </cell>
          <cell r="K26" t="str">
            <v>No</v>
          </cell>
          <cell r="S26" t="str">
            <v/>
          </cell>
          <cell r="T26" t="str">
            <v>instance</v>
          </cell>
          <cell r="W26" t="str">
            <v>Yes</v>
          </cell>
          <cell r="Y26" t="str">
            <v/>
          </cell>
          <cell r="Z26" t="str">
            <v>Yes</v>
          </cell>
          <cell r="AA26" t="str">
            <v>boolean</v>
          </cell>
          <cell r="AE26" t="str">
            <v>No</v>
          </cell>
          <cell r="AF26" t="str">
            <v>No</v>
          </cell>
        </row>
        <row r="27">
          <cell r="B27" t="str">
            <v>30</v>
          </cell>
          <cell r="G27" t="str">
            <v>31</v>
          </cell>
          <cell r="I27" t="str">
            <v>Unspecified</v>
          </cell>
          <cell r="J27" t="str">
            <v>No</v>
          </cell>
          <cell r="K27" t="str">
            <v>No</v>
          </cell>
          <cell r="V27" t="str">
            <v>No</v>
          </cell>
          <cell r="Y27" t="str">
            <v/>
          </cell>
          <cell r="AI27" t="str">
            <v>10</v>
          </cell>
          <cell r="AK27" t="str">
            <v>Unspecified</v>
          </cell>
          <cell r="AL27" t="str">
            <v>False</v>
          </cell>
          <cell r="AM27" t="str">
            <v>None</v>
          </cell>
          <cell r="AN27" t="str">
            <v>3</v>
          </cell>
          <cell r="AO27" t="str">
            <v>huidigeKaart</v>
          </cell>
          <cell r="AP27" t="str">
            <v>1</v>
          </cell>
          <cell r="AQ27" t="str">
            <v>True</v>
          </cell>
          <cell r="AR27" t="str">
            <v>None</v>
          </cell>
        </row>
        <row r="28">
          <cell r="B28" t="str">
            <v>33</v>
          </cell>
          <cell r="G28" t="str">
            <v>34</v>
          </cell>
          <cell r="I28" t="str">
            <v>Unspecified</v>
          </cell>
          <cell r="J28" t="str">
            <v>No</v>
          </cell>
          <cell r="K28" t="str">
            <v>No</v>
          </cell>
          <cell r="V28" t="str">
            <v>No</v>
          </cell>
          <cell r="Y28" t="str">
            <v/>
          </cell>
          <cell r="AI28" t="str">
            <v>10</v>
          </cell>
          <cell r="AK28" t="str">
            <v>Unspecified</v>
          </cell>
          <cell r="AL28" t="str">
            <v>False</v>
          </cell>
          <cell r="AM28" t="str">
            <v>None</v>
          </cell>
          <cell r="AN28" t="str">
            <v>3</v>
          </cell>
          <cell r="AO28" t="str">
            <v>trekstapel</v>
          </cell>
          <cell r="AP28" t="str">
            <v>0..52</v>
          </cell>
          <cell r="AQ28" t="str">
            <v>True</v>
          </cell>
          <cell r="AR28" t="str">
            <v>None</v>
          </cell>
        </row>
        <row r="29">
          <cell r="B29" t="str">
            <v>35</v>
          </cell>
          <cell r="G29" t="str">
            <v>36</v>
          </cell>
          <cell r="I29" t="str">
            <v>Unspecified</v>
          </cell>
          <cell r="J29" t="str">
            <v>No</v>
          </cell>
          <cell r="K29" t="str">
            <v>No</v>
          </cell>
          <cell r="V29" t="str">
            <v>No</v>
          </cell>
          <cell r="Y29" t="str">
            <v/>
          </cell>
          <cell r="AI29" t="str">
            <v>20</v>
          </cell>
          <cell r="AK29" t="str">
            <v>Unspecified</v>
          </cell>
          <cell r="AL29" t="str">
            <v>False</v>
          </cell>
          <cell r="AM29" t="str">
            <v>None</v>
          </cell>
          <cell r="AN29" t="str">
            <v>10</v>
          </cell>
          <cell r="AO29" t="str">
            <v>hogerLager</v>
          </cell>
          <cell r="AP29" t="str">
            <v>0..1</v>
          </cell>
          <cell r="AQ29" t="str">
            <v>True</v>
          </cell>
          <cell r="AR29" t="str">
            <v>None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9"/>
  <sheetViews>
    <sheetView tabSelected="1" topLeftCell="AH1" workbookViewId="0">
      <selection activeCell="AL29" sqref="AL29"/>
    </sheetView>
  </sheetViews>
  <sheetFormatPr defaultRowHeight="14.5" x14ac:dyDescent="0.35"/>
  <cols>
    <col min="1" max="1" width="11.54296875" customWidth="1"/>
    <col min="2" max="2" width="3.1796875" bestFit="1" customWidth="1"/>
    <col min="3" max="3" width="16.90625" bestFit="1" customWidth="1"/>
    <col min="4" max="4" width="12.90625" customWidth="1"/>
    <col min="5" max="5" width="11.36328125" customWidth="1"/>
    <col min="6" max="6" width="13.453125" customWidth="1"/>
    <col min="7" max="7" width="9.26953125" customWidth="1"/>
    <col min="8" max="8" width="11.90625" customWidth="1"/>
    <col min="9" max="9" width="11.36328125" customWidth="1"/>
    <col min="10" max="10" width="8.7265625" customWidth="1"/>
    <col min="11" max="11" width="4.7265625" customWidth="1"/>
    <col min="12" max="12" width="5.26953125" customWidth="1"/>
    <col min="13" max="13" width="6.7265625" customWidth="1"/>
    <col min="14" max="14" width="15.08984375" customWidth="1"/>
    <col min="15" max="15" width="12.6328125" customWidth="1"/>
    <col min="16" max="16" width="10.08984375" customWidth="1"/>
    <col min="17" max="17" width="11.6328125" customWidth="1"/>
    <col min="18" max="18" width="11.36328125" customWidth="1"/>
    <col min="19" max="19" width="13.90625" customWidth="1"/>
    <col min="20" max="20" width="8.36328125" customWidth="1"/>
    <col min="21" max="21" width="12.08984375" customWidth="1"/>
    <col min="22" max="22" width="8.08984375" customWidth="1"/>
    <col min="23" max="23" width="7.08984375" customWidth="1"/>
    <col min="24" max="24" width="6.54296875" customWidth="1"/>
    <col min="25" max="25" width="6.90625" bestFit="1" customWidth="1"/>
    <col min="26" max="26" width="7.54296875" customWidth="1"/>
    <col min="27" max="27" width="25.81640625" customWidth="1"/>
    <col min="28" max="29" width="6.54296875" customWidth="1"/>
    <col min="30" max="30" width="14.7265625" customWidth="1"/>
    <col min="31" max="31" width="6.54296875" customWidth="1"/>
    <col min="32" max="32" width="8.6328125" customWidth="1"/>
    <col min="33" max="33" width="9.26953125" customWidth="1"/>
    <col min="34" max="34" width="13.36328125" customWidth="1"/>
    <col min="35" max="35" width="5.6328125" customWidth="1"/>
    <col min="36" max="36" width="10.26953125" customWidth="1"/>
    <col min="37" max="37" width="16.6328125" customWidth="1"/>
    <col min="38" max="38" width="15.26953125" customWidth="1"/>
    <col min="39" max="39" width="21.90625" customWidth="1"/>
    <col min="40" max="40" width="3.26953125" bestFit="1" customWidth="1"/>
    <col min="41" max="41" width="12.26953125" bestFit="1" customWidth="1"/>
    <col min="42" max="42" width="14.26953125" bestFit="1" customWidth="1"/>
    <col min="43" max="43" width="12.90625" bestFit="1" customWidth="1"/>
    <col min="44" max="44" width="19.54296875" customWidth="1"/>
    <col min="45" max="45" width="20.1796875" customWidth="1"/>
    <col min="46" max="46" width="11.08984375" customWidth="1"/>
    <col min="47" max="47" width="14.54296875" customWidth="1"/>
    <col min="48" max="48" width="9.453125" bestFit="1" customWidth="1"/>
    <col min="49" max="49" width="16.90625" bestFit="1" customWidth="1"/>
    <col min="50" max="50" width="8.453125" bestFit="1" customWidth="1"/>
    <col min="53" max="53" width="10.54296875" customWidth="1"/>
  </cols>
  <sheetData>
    <row r="1" spans="1:53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7" t="s">
        <v>175</v>
      </c>
      <c r="AZ1" s="7" t="s">
        <v>176</v>
      </c>
      <c r="BA1" s="7" t="s">
        <v>177</v>
      </c>
    </row>
    <row r="2" spans="1:53" x14ac:dyDescent="0.35">
      <c r="A2" s="2" t="s">
        <v>50</v>
      </c>
      <c r="B2" s="3" t="s">
        <v>51</v>
      </c>
      <c r="C2" s="4" t="s">
        <v>52</v>
      </c>
      <c r="D2" s="3" t="s">
        <v>53</v>
      </c>
      <c r="E2" s="4" t="s">
        <v>0</v>
      </c>
      <c r="F2" s="4" t="s">
        <v>54</v>
      </c>
      <c r="AX2" s="4" t="s">
        <v>55</v>
      </c>
    </row>
    <row r="3" spans="1:53" x14ac:dyDescent="0.35">
      <c r="A3" s="2" t="s">
        <v>56</v>
      </c>
      <c r="B3" s="3" t="s">
        <v>57</v>
      </c>
      <c r="C3" s="4" t="s">
        <v>58</v>
      </c>
      <c r="G3" s="4" t="s">
        <v>59</v>
      </c>
      <c r="I3" s="4" t="s">
        <v>60</v>
      </c>
      <c r="J3" s="4" t="s">
        <v>55</v>
      </c>
      <c r="K3" s="4" t="s">
        <v>55</v>
      </c>
      <c r="L3" s="4" t="s">
        <v>55</v>
      </c>
      <c r="M3" s="4" t="s">
        <v>55</v>
      </c>
      <c r="N3" s="4" t="s">
        <v>55</v>
      </c>
      <c r="Y3" t="str">
        <f>IF(A3&lt;&gt;"Attribute","",IF(AZ3&gt;=1,"Yes","No"))</f>
        <v/>
      </c>
      <c r="AT3" s="4" t="s">
        <v>51</v>
      </c>
      <c r="AU3" s="4" t="s">
        <v>52</v>
      </c>
      <c r="AV3" s="4" t="s">
        <v>54</v>
      </c>
      <c r="AW3" s="4" t="s">
        <v>61</v>
      </c>
      <c r="AX3" s="4" t="str">
        <f>IF(AY3&gt;=1, "No", "Yes")</f>
        <v>No</v>
      </c>
      <c r="AY3">
        <f>COUNTIFS([1]Stappen!$K:$K, B3, [1]Stappen!$O:$O, "No")</f>
        <v>1</v>
      </c>
      <c r="AZ3">
        <f>COUNTIFS([1]Stappen!$K:$K, B3, [1]Stappen!$P:$P, "Yes")</f>
        <v>0</v>
      </c>
      <c r="BA3">
        <f>COUNTIFS([1]Stappen!$K:$K, B3, [1]Stappen!$Q:$Q, "Yes")</f>
        <v>0</v>
      </c>
    </row>
    <row r="4" spans="1:53" x14ac:dyDescent="0.35">
      <c r="A4" s="2" t="s">
        <v>62</v>
      </c>
      <c r="B4" s="3" t="s">
        <v>63</v>
      </c>
      <c r="C4" s="4" t="s">
        <v>64</v>
      </c>
      <c r="D4" s="4" t="s">
        <v>65</v>
      </c>
      <c r="G4" s="4" t="s">
        <v>63</v>
      </c>
      <c r="I4" s="4" t="s">
        <v>66</v>
      </c>
      <c r="J4" s="4" t="s">
        <v>55</v>
      </c>
      <c r="R4" s="4" t="s">
        <v>67</v>
      </c>
      <c r="S4" s="4" t="s">
        <v>0</v>
      </c>
      <c r="T4" s="4" t="s">
        <v>68</v>
      </c>
      <c r="U4" s="4" t="s">
        <v>69</v>
      </c>
      <c r="V4" s="4" t="s">
        <v>55</v>
      </c>
      <c r="W4" s="4" t="s">
        <v>70</v>
      </c>
      <c r="X4" s="4" t="s">
        <v>55</v>
      </c>
      <c r="Y4" t="str">
        <f t="shared" ref="Y4:Y29" si="0">IF(A4&lt;&gt;"Attribute","",IF(AZ4&gt;=1,"Yes","No"))</f>
        <v>Yes</v>
      </c>
      <c r="Z4" s="4" t="s">
        <v>70</v>
      </c>
      <c r="AT4" s="4" t="s">
        <v>51</v>
      </c>
      <c r="AU4" s="4" t="s">
        <v>52</v>
      </c>
      <c r="AV4" s="4" t="s">
        <v>59</v>
      </c>
      <c r="AW4" s="4" t="s">
        <v>58</v>
      </c>
      <c r="AX4" s="4" t="str">
        <f t="shared" ref="AX4:AX29" si="1">IF(AY4&gt;=1, "No", "Yes")</f>
        <v>No</v>
      </c>
      <c r="AY4">
        <f>COUNTIFS([1]Stappen!$K:$K, B4, [1]Stappen!$O:$O, "No")</f>
        <v>2</v>
      </c>
      <c r="AZ4">
        <f>COUNTIFS([1]Stappen!$K:$K, B4, [1]Stappen!$P:$P, "Yes")</f>
        <v>1</v>
      </c>
      <c r="BA4">
        <f>COUNTIFS([1]Stappen!$K:$K, B4, [1]Stappen!$Q:$Q, "Yes")</f>
        <v>0</v>
      </c>
    </row>
    <row r="5" spans="1:53" x14ac:dyDescent="0.35">
      <c r="A5" s="2" t="s">
        <v>62</v>
      </c>
      <c r="B5" s="3" t="s">
        <v>71</v>
      </c>
      <c r="C5" s="4" t="s">
        <v>72</v>
      </c>
      <c r="D5" s="4" t="s">
        <v>73</v>
      </c>
      <c r="G5" s="4" t="s">
        <v>71</v>
      </c>
      <c r="I5" s="4" t="s">
        <v>66</v>
      </c>
      <c r="J5" s="4" t="s">
        <v>55</v>
      </c>
      <c r="R5" s="4" t="s">
        <v>67</v>
      </c>
      <c r="S5" s="4" t="s">
        <v>0</v>
      </c>
      <c r="T5" s="4" t="s">
        <v>68</v>
      </c>
      <c r="U5" s="4" t="s">
        <v>69</v>
      </c>
      <c r="V5" s="4" t="s">
        <v>55</v>
      </c>
      <c r="W5" s="4" t="s">
        <v>70</v>
      </c>
      <c r="X5" s="4" t="s">
        <v>55</v>
      </c>
      <c r="Y5" t="str">
        <f t="shared" si="0"/>
        <v>Yes</v>
      </c>
      <c r="Z5" s="4" t="s">
        <v>70</v>
      </c>
      <c r="AT5" s="4" t="s">
        <v>51</v>
      </c>
      <c r="AU5" s="4" t="s">
        <v>52</v>
      </c>
      <c r="AV5" s="4" t="s">
        <v>59</v>
      </c>
      <c r="AW5" s="4" t="s">
        <v>58</v>
      </c>
      <c r="AX5" s="4" t="str">
        <f t="shared" si="1"/>
        <v>No</v>
      </c>
      <c r="AY5">
        <f>COUNTIFS([1]Stappen!$K:$K, B5, [1]Stappen!$O:$O, "No")</f>
        <v>2</v>
      </c>
      <c r="AZ5">
        <f>COUNTIFS([1]Stappen!$K:$K, B5, [1]Stappen!$P:$P, "Yes")</f>
        <v>1</v>
      </c>
      <c r="BA5">
        <f>COUNTIFS([1]Stappen!$K:$K, B5, [1]Stappen!$Q:$Q, "Yes")</f>
        <v>0</v>
      </c>
    </row>
    <row r="6" spans="1:53" x14ac:dyDescent="0.35">
      <c r="A6" s="2" t="s">
        <v>74</v>
      </c>
      <c r="B6" s="3" t="s">
        <v>75</v>
      </c>
      <c r="C6" s="4" t="s">
        <v>58</v>
      </c>
      <c r="G6" s="4" t="s">
        <v>75</v>
      </c>
      <c r="I6" s="4" t="s">
        <v>60</v>
      </c>
      <c r="J6" s="4" t="s">
        <v>55</v>
      </c>
      <c r="K6" s="4" t="s">
        <v>55</v>
      </c>
      <c r="S6" s="4" t="s">
        <v>0</v>
      </c>
      <c r="T6" s="4" t="s">
        <v>68</v>
      </c>
      <c r="W6" s="4" t="s">
        <v>70</v>
      </c>
      <c r="Y6" t="str">
        <f t="shared" si="0"/>
        <v/>
      </c>
      <c r="Z6" s="4" t="s">
        <v>70</v>
      </c>
      <c r="AE6" s="4" t="s">
        <v>55</v>
      </c>
      <c r="AF6" s="4" t="s">
        <v>55</v>
      </c>
      <c r="AT6" s="4" t="s">
        <v>51</v>
      </c>
      <c r="AU6" s="4" t="s">
        <v>52</v>
      </c>
      <c r="AV6" s="4" t="s">
        <v>59</v>
      </c>
      <c r="AW6" s="4" t="s">
        <v>58</v>
      </c>
      <c r="AX6" s="4" t="str">
        <f t="shared" si="1"/>
        <v>No</v>
      </c>
      <c r="AY6">
        <f>COUNTIFS([1]Stappen!$K:$K, B6, [1]Stappen!$O:$O, "No")</f>
        <v>1</v>
      </c>
      <c r="AZ6">
        <f>COUNTIFS([1]Stappen!$K:$K, B6, [1]Stappen!$P:$P, "Yes")</f>
        <v>0</v>
      </c>
      <c r="BA6">
        <f>COUNTIFS([1]Stappen!$K:$K, B6, [1]Stappen!$Q:$Q, "Yes")</f>
        <v>0</v>
      </c>
    </row>
    <row r="7" spans="1:53" x14ac:dyDescent="0.35">
      <c r="A7" s="2" t="s">
        <v>76</v>
      </c>
      <c r="B7" s="3" t="s">
        <v>77</v>
      </c>
      <c r="C7" s="4" t="s">
        <v>64</v>
      </c>
      <c r="D7" s="4" t="s">
        <v>65</v>
      </c>
      <c r="G7" s="4" t="s">
        <v>77</v>
      </c>
      <c r="R7" s="4" t="s">
        <v>67</v>
      </c>
      <c r="S7" s="4" t="s">
        <v>0</v>
      </c>
      <c r="Y7" t="str">
        <f t="shared" si="0"/>
        <v/>
      </c>
      <c r="AG7" s="4" t="s">
        <v>78</v>
      </c>
      <c r="AT7" s="4" t="s">
        <v>51</v>
      </c>
      <c r="AU7" s="4" t="s">
        <v>52</v>
      </c>
      <c r="AV7" s="4" t="s">
        <v>75</v>
      </c>
      <c r="AW7" s="4" t="s">
        <v>58</v>
      </c>
      <c r="AX7" s="4" t="str">
        <f t="shared" si="1"/>
        <v>No</v>
      </c>
      <c r="AY7">
        <f>COUNTIFS([1]Stappen!$K:$K, B7, [1]Stappen!$O:$O, "No")</f>
        <v>1</v>
      </c>
      <c r="AZ7">
        <f>COUNTIFS([1]Stappen!$K:$K, B7, [1]Stappen!$P:$P, "Yes")</f>
        <v>0</v>
      </c>
      <c r="BA7">
        <f>COUNTIFS([1]Stappen!$K:$K, B7, [1]Stappen!$Q:$Q, "Yes")</f>
        <v>0</v>
      </c>
    </row>
    <row r="8" spans="1:53" x14ac:dyDescent="0.35">
      <c r="A8" s="2" t="s">
        <v>76</v>
      </c>
      <c r="B8" s="3" t="s">
        <v>79</v>
      </c>
      <c r="C8" s="4" t="s">
        <v>72</v>
      </c>
      <c r="D8" s="4" t="s">
        <v>73</v>
      </c>
      <c r="G8" s="4" t="s">
        <v>79</v>
      </c>
      <c r="R8" s="4" t="s">
        <v>67</v>
      </c>
      <c r="S8" s="4" t="s">
        <v>0</v>
      </c>
      <c r="Y8" t="str">
        <f t="shared" si="0"/>
        <v/>
      </c>
      <c r="AG8" s="4" t="s">
        <v>78</v>
      </c>
      <c r="AT8" s="4" t="s">
        <v>51</v>
      </c>
      <c r="AU8" s="4" t="s">
        <v>52</v>
      </c>
      <c r="AV8" s="4" t="s">
        <v>75</v>
      </c>
      <c r="AW8" s="4" t="s">
        <v>58</v>
      </c>
      <c r="AX8" s="4" t="str">
        <f t="shared" si="1"/>
        <v>No</v>
      </c>
      <c r="AY8">
        <f>COUNTIFS([1]Stappen!$K:$K, B8, [1]Stappen!$O:$O, "No")</f>
        <v>1</v>
      </c>
      <c r="AZ8">
        <f>COUNTIFS([1]Stappen!$K:$K, B8, [1]Stappen!$P:$P, "Yes")</f>
        <v>0</v>
      </c>
      <c r="BA8">
        <f>COUNTIFS([1]Stappen!$K:$K, B8, [1]Stappen!$Q:$Q, "Yes")</f>
        <v>0</v>
      </c>
    </row>
    <row r="9" spans="1:53" x14ac:dyDescent="0.35">
      <c r="A9" s="2" t="s">
        <v>56</v>
      </c>
      <c r="B9" s="3" t="s">
        <v>80</v>
      </c>
      <c r="C9" s="4" t="s">
        <v>81</v>
      </c>
      <c r="G9" s="4" t="s">
        <v>82</v>
      </c>
      <c r="I9" s="4" t="s">
        <v>60</v>
      </c>
      <c r="J9" s="4" t="s">
        <v>55</v>
      </c>
      <c r="K9" s="4" t="s">
        <v>55</v>
      </c>
      <c r="L9" s="4" t="s">
        <v>55</v>
      </c>
      <c r="M9" s="4" t="s">
        <v>55</v>
      </c>
      <c r="N9" s="4" t="s">
        <v>55</v>
      </c>
      <c r="Y9" t="str">
        <f t="shared" si="0"/>
        <v/>
      </c>
      <c r="AT9" s="4" t="s">
        <v>51</v>
      </c>
      <c r="AU9" s="4" t="s">
        <v>52</v>
      </c>
      <c r="AV9" s="4" t="s">
        <v>54</v>
      </c>
      <c r="AW9" s="4" t="s">
        <v>61</v>
      </c>
      <c r="AX9" s="4" t="str">
        <f t="shared" si="1"/>
        <v>No</v>
      </c>
      <c r="AY9">
        <f>COUNTIFS([1]Stappen!$K:$K, B9, [1]Stappen!$O:$O, "No")</f>
        <v>1</v>
      </c>
      <c r="AZ9">
        <f>COUNTIFS([1]Stappen!$K:$K, B9, [1]Stappen!$P:$P, "Yes")</f>
        <v>0</v>
      </c>
      <c r="BA9">
        <f>COUNTIFS([1]Stappen!$K:$K, B9, [1]Stappen!$Q:$Q, "Yes")</f>
        <v>0</v>
      </c>
    </row>
    <row r="10" spans="1:53" x14ac:dyDescent="0.35">
      <c r="A10" s="2" t="s">
        <v>62</v>
      </c>
      <c r="B10" s="3" t="s">
        <v>83</v>
      </c>
      <c r="C10" s="4" t="s">
        <v>84</v>
      </c>
      <c r="D10" s="4" t="s">
        <v>65</v>
      </c>
      <c r="G10" s="4" t="s">
        <v>83</v>
      </c>
      <c r="I10" s="4" t="s">
        <v>66</v>
      </c>
      <c r="J10" s="4" t="s">
        <v>55</v>
      </c>
      <c r="R10" s="4" t="s">
        <v>67</v>
      </c>
      <c r="S10" s="4" t="s">
        <v>0</v>
      </c>
      <c r="T10" s="4" t="s">
        <v>68</v>
      </c>
      <c r="U10" s="4" t="s">
        <v>69</v>
      </c>
      <c r="V10" s="4" t="s">
        <v>55</v>
      </c>
      <c r="W10" s="4" t="s">
        <v>70</v>
      </c>
      <c r="X10" s="4" t="s">
        <v>55</v>
      </c>
      <c r="Y10" t="str">
        <f t="shared" si="0"/>
        <v>Yes</v>
      </c>
      <c r="Z10" s="4" t="s">
        <v>70</v>
      </c>
      <c r="AT10" s="4" t="s">
        <v>51</v>
      </c>
      <c r="AU10" s="4" t="s">
        <v>52</v>
      </c>
      <c r="AV10" s="4" t="s">
        <v>82</v>
      </c>
      <c r="AW10" s="4" t="s">
        <v>81</v>
      </c>
      <c r="AX10" s="4" t="str">
        <f t="shared" si="1"/>
        <v>No</v>
      </c>
      <c r="AY10">
        <f>COUNTIFS([1]Stappen!$K:$K, B10, [1]Stappen!$O:$O, "No")</f>
        <v>2</v>
      </c>
      <c r="AZ10">
        <f>COUNTIFS([1]Stappen!$K:$K, B10, [1]Stappen!$P:$P, "Yes")</f>
        <v>1</v>
      </c>
      <c r="BA10">
        <f>COUNTIFS([1]Stappen!$K:$K, B10, [1]Stappen!$Q:$Q, "Yes")</f>
        <v>0</v>
      </c>
    </row>
    <row r="11" spans="1:53" x14ac:dyDescent="0.35">
      <c r="A11" s="2" t="s">
        <v>62</v>
      </c>
      <c r="B11" s="3" t="s">
        <v>85</v>
      </c>
      <c r="C11" s="4" t="s">
        <v>86</v>
      </c>
      <c r="D11" s="4" t="s">
        <v>87</v>
      </c>
      <c r="G11" s="4" t="s">
        <v>85</v>
      </c>
      <c r="I11" s="4" t="s">
        <v>66</v>
      </c>
      <c r="J11" s="4" t="s">
        <v>55</v>
      </c>
      <c r="R11" s="4" t="s">
        <v>67</v>
      </c>
      <c r="S11" s="4" t="s">
        <v>0</v>
      </c>
      <c r="T11" s="4" t="s">
        <v>68</v>
      </c>
      <c r="U11" s="4" t="s">
        <v>69</v>
      </c>
      <c r="V11" s="4" t="s">
        <v>55</v>
      </c>
      <c r="W11" s="4" t="s">
        <v>70</v>
      </c>
      <c r="X11" s="4" t="s">
        <v>55</v>
      </c>
      <c r="Y11" t="str">
        <f t="shared" si="0"/>
        <v>Yes</v>
      </c>
      <c r="Z11" s="4" t="s">
        <v>70</v>
      </c>
      <c r="AT11" s="4" t="s">
        <v>51</v>
      </c>
      <c r="AU11" s="4" t="s">
        <v>52</v>
      </c>
      <c r="AV11" s="4" t="s">
        <v>82</v>
      </c>
      <c r="AW11" s="4" t="s">
        <v>81</v>
      </c>
      <c r="AX11" s="4" t="str">
        <f t="shared" si="1"/>
        <v>No</v>
      </c>
      <c r="AY11">
        <f>COUNTIFS([1]Stappen!$K:$K, B11, [1]Stappen!$O:$O, "No")</f>
        <v>2</v>
      </c>
      <c r="AZ11">
        <f>COUNTIFS([1]Stappen!$K:$K, B11, [1]Stappen!$P:$P, "Yes")</f>
        <v>1</v>
      </c>
      <c r="BA11">
        <f>COUNTIFS([1]Stappen!$K:$K, B11, [1]Stappen!$Q:$Q, "Yes")</f>
        <v>0</v>
      </c>
    </row>
    <row r="12" spans="1:53" x14ac:dyDescent="0.35">
      <c r="A12" s="2" t="s">
        <v>74</v>
      </c>
      <c r="B12" s="3" t="s">
        <v>88</v>
      </c>
      <c r="C12" s="4" t="s">
        <v>81</v>
      </c>
      <c r="G12" s="4" t="s">
        <v>88</v>
      </c>
      <c r="I12" s="4" t="s">
        <v>60</v>
      </c>
      <c r="J12" s="4" t="s">
        <v>55</v>
      </c>
      <c r="K12" s="4" t="s">
        <v>55</v>
      </c>
      <c r="S12" s="4" t="s">
        <v>0</v>
      </c>
      <c r="T12" s="4" t="s">
        <v>68</v>
      </c>
      <c r="W12" s="4" t="s">
        <v>70</v>
      </c>
      <c r="Y12" t="str">
        <f t="shared" si="0"/>
        <v/>
      </c>
      <c r="Z12" s="4" t="s">
        <v>70</v>
      </c>
      <c r="AE12" s="4" t="s">
        <v>55</v>
      </c>
      <c r="AF12" s="4" t="s">
        <v>55</v>
      </c>
      <c r="AT12" s="4" t="s">
        <v>51</v>
      </c>
      <c r="AU12" s="4" t="s">
        <v>52</v>
      </c>
      <c r="AV12" s="4" t="s">
        <v>82</v>
      </c>
      <c r="AW12" s="4" t="s">
        <v>81</v>
      </c>
      <c r="AX12" s="4" t="str">
        <f t="shared" si="1"/>
        <v>No</v>
      </c>
      <c r="AY12">
        <f>COUNTIFS([1]Stappen!$K:$K, B12, [1]Stappen!$O:$O, "No")</f>
        <v>1</v>
      </c>
      <c r="AZ12">
        <f>COUNTIFS([1]Stappen!$K:$K, B12, [1]Stappen!$P:$P, "Yes")</f>
        <v>0</v>
      </c>
      <c r="BA12">
        <f>COUNTIFS([1]Stappen!$K:$K, B12, [1]Stappen!$Q:$Q, "Yes")</f>
        <v>0</v>
      </c>
    </row>
    <row r="13" spans="1:53" x14ac:dyDescent="0.35">
      <c r="A13" s="2" t="s">
        <v>74</v>
      </c>
      <c r="B13" s="3" t="s">
        <v>89</v>
      </c>
      <c r="C13" s="4" t="s">
        <v>90</v>
      </c>
      <c r="G13" s="4" t="s">
        <v>89</v>
      </c>
      <c r="I13" s="4" t="s">
        <v>60</v>
      </c>
      <c r="J13" s="4" t="s">
        <v>55</v>
      </c>
      <c r="K13" s="4" t="s">
        <v>55</v>
      </c>
      <c r="S13" s="4" t="s">
        <v>0</v>
      </c>
      <c r="T13" s="4" t="s">
        <v>68</v>
      </c>
      <c r="W13" s="4" t="s">
        <v>70</v>
      </c>
      <c r="Y13" t="str">
        <f t="shared" si="0"/>
        <v/>
      </c>
      <c r="Z13" s="4" t="s">
        <v>70</v>
      </c>
      <c r="AA13" s="4" t="s">
        <v>91</v>
      </c>
      <c r="AE13" s="4" t="s">
        <v>55</v>
      </c>
      <c r="AF13" s="4" t="s">
        <v>55</v>
      </c>
      <c r="AT13" s="4" t="s">
        <v>51</v>
      </c>
      <c r="AU13" s="4" t="s">
        <v>52</v>
      </c>
      <c r="AV13" s="4" t="s">
        <v>82</v>
      </c>
      <c r="AW13" s="4" t="s">
        <v>81</v>
      </c>
      <c r="AX13" s="4" t="str">
        <f t="shared" si="1"/>
        <v>No</v>
      </c>
      <c r="AY13">
        <f>COUNTIFS([1]Stappen!$K:$K, B13, [1]Stappen!$O:$O, "No")</f>
        <v>1</v>
      </c>
      <c r="AZ13">
        <f>COUNTIFS([1]Stappen!$K:$K, B13, [1]Stappen!$P:$P, "Yes")</f>
        <v>0</v>
      </c>
      <c r="BA13">
        <f>COUNTIFS([1]Stappen!$K:$K, B13, [1]Stappen!$Q:$Q, "Yes")</f>
        <v>0</v>
      </c>
    </row>
    <row r="14" spans="1:53" x14ac:dyDescent="0.35">
      <c r="A14" s="2" t="s">
        <v>74</v>
      </c>
      <c r="B14" s="3" t="s">
        <v>92</v>
      </c>
      <c r="C14" s="4" t="s">
        <v>93</v>
      </c>
      <c r="G14" s="4" t="s">
        <v>92</v>
      </c>
      <c r="I14" s="4" t="s">
        <v>60</v>
      </c>
      <c r="J14" s="4" t="s">
        <v>55</v>
      </c>
      <c r="K14" s="4" t="s">
        <v>55</v>
      </c>
      <c r="S14" s="4" t="s">
        <v>0</v>
      </c>
      <c r="T14" s="4" t="s">
        <v>68</v>
      </c>
      <c r="W14" s="4" t="s">
        <v>70</v>
      </c>
      <c r="Y14" t="str">
        <f t="shared" si="0"/>
        <v/>
      </c>
      <c r="Z14" s="4" t="s">
        <v>70</v>
      </c>
      <c r="AA14" s="4" t="s">
        <v>94</v>
      </c>
      <c r="AE14" s="4" t="s">
        <v>55</v>
      </c>
      <c r="AF14" s="4" t="s">
        <v>55</v>
      </c>
      <c r="AT14" s="4" t="s">
        <v>51</v>
      </c>
      <c r="AU14" s="4" t="s">
        <v>52</v>
      </c>
      <c r="AV14" s="4" t="s">
        <v>82</v>
      </c>
      <c r="AW14" s="4" t="s">
        <v>81</v>
      </c>
      <c r="AX14" s="4" t="str">
        <f t="shared" si="1"/>
        <v>No</v>
      </c>
      <c r="AY14">
        <f>COUNTIFS([1]Stappen!$K:$K, B14, [1]Stappen!$O:$O, "No")</f>
        <v>1</v>
      </c>
      <c r="AZ14">
        <f>COUNTIFS([1]Stappen!$K:$K, B14, [1]Stappen!$P:$P, "Yes")</f>
        <v>0</v>
      </c>
      <c r="BA14">
        <f>COUNTIFS([1]Stappen!$K:$K, B14, [1]Stappen!$Q:$Q, "Yes")</f>
        <v>0</v>
      </c>
    </row>
    <row r="15" spans="1:53" x14ac:dyDescent="0.35">
      <c r="A15" s="2" t="s">
        <v>76</v>
      </c>
      <c r="B15" s="3" t="s">
        <v>95</v>
      </c>
      <c r="C15" s="4" t="s">
        <v>96</v>
      </c>
      <c r="D15" s="4" t="s">
        <v>87</v>
      </c>
      <c r="G15" s="4" t="s">
        <v>95</v>
      </c>
      <c r="R15" s="4" t="s">
        <v>67</v>
      </c>
      <c r="S15" s="4" t="s">
        <v>0</v>
      </c>
      <c r="Y15" t="str">
        <f t="shared" si="0"/>
        <v/>
      </c>
      <c r="AG15" s="4" t="s">
        <v>78</v>
      </c>
      <c r="AT15" s="4" t="s">
        <v>51</v>
      </c>
      <c r="AU15" s="4" t="s">
        <v>52</v>
      </c>
      <c r="AV15" s="4" t="s">
        <v>92</v>
      </c>
      <c r="AW15" s="4" t="s">
        <v>93</v>
      </c>
      <c r="AX15" s="4" t="str">
        <f t="shared" si="1"/>
        <v>No</v>
      </c>
      <c r="AY15">
        <f>COUNTIFS([1]Stappen!$K:$K, B15, [1]Stappen!$O:$O, "No")</f>
        <v>1</v>
      </c>
      <c r="AZ15">
        <f>COUNTIFS([1]Stappen!$K:$K, B15, [1]Stappen!$P:$P, "Yes")</f>
        <v>0</v>
      </c>
      <c r="BA15">
        <f>COUNTIFS([1]Stappen!$K:$K, B15, [1]Stappen!$Q:$Q, "Yes")</f>
        <v>0</v>
      </c>
    </row>
    <row r="16" spans="1:53" x14ac:dyDescent="0.35">
      <c r="A16" s="2" t="s">
        <v>74</v>
      </c>
      <c r="B16" s="3" t="s">
        <v>97</v>
      </c>
      <c r="C16" s="4" t="s">
        <v>98</v>
      </c>
      <c r="G16" s="4" t="s">
        <v>97</v>
      </c>
      <c r="I16" s="4" t="s">
        <v>60</v>
      </c>
      <c r="J16" s="4" t="s">
        <v>55</v>
      </c>
      <c r="K16" s="4" t="s">
        <v>55</v>
      </c>
      <c r="S16" s="4" t="s">
        <v>0</v>
      </c>
      <c r="T16" s="4" t="s">
        <v>68</v>
      </c>
      <c r="W16" s="4" t="s">
        <v>70</v>
      </c>
      <c r="Y16" t="str">
        <f t="shared" si="0"/>
        <v/>
      </c>
      <c r="Z16" s="4" t="s">
        <v>70</v>
      </c>
      <c r="AA16" s="4" t="s">
        <v>87</v>
      </c>
      <c r="AE16" s="4" t="s">
        <v>55</v>
      </c>
      <c r="AF16" s="4" t="s">
        <v>55</v>
      </c>
      <c r="AT16" s="4" t="s">
        <v>51</v>
      </c>
      <c r="AU16" s="4" t="s">
        <v>52</v>
      </c>
      <c r="AV16" s="4" t="s">
        <v>82</v>
      </c>
      <c r="AW16" s="4" t="s">
        <v>81</v>
      </c>
      <c r="AX16" s="4" t="str">
        <f t="shared" si="1"/>
        <v>No</v>
      </c>
      <c r="AY16">
        <f>COUNTIFS([1]Stappen!$K:$K, B16, [1]Stappen!$O:$O, "No")</f>
        <v>1</v>
      </c>
      <c r="AZ16">
        <f>COUNTIFS([1]Stappen!$K:$K, B16, [1]Stappen!$P:$P, "Yes")</f>
        <v>0</v>
      </c>
      <c r="BA16">
        <f>COUNTIFS([1]Stappen!$K:$K, B16, [1]Stappen!$Q:$Q, "Yes")</f>
        <v>0</v>
      </c>
    </row>
    <row r="17" spans="1:53" x14ac:dyDescent="0.35">
      <c r="A17" s="2" t="s">
        <v>74</v>
      </c>
      <c r="B17" s="3" t="s">
        <v>99</v>
      </c>
      <c r="C17" s="4" t="s">
        <v>100</v>
      </c>
      <c r="G17" s="4" t="s">
        <v>99</v>
      </c>
      <c r="I17" s="4" t="s">
        <v>60</v>
      </c>
      <c r="J17" s="4" t="s">
        <v>55</v>
      </c>
      <c r="K17" s="4" t="s">
        <v>55</v>
      </c>
      <c r="S17" s="4" t="s">
        <v>0</v>
      </c>
      <c r="T17" s="4" t="s">
        <v>68</v>
      </c>
      <c r="W17" s="4" t="s">
        <v>70</v>
      </c>
      <c r="Y17" t="str">
        <f t="shared" si="0"/>
        <v/>
      </c>
      <c r="Z17" s="4" t="s">
        <v>70</v>
      </c>
      <c r="AA17" s="4" t="s">
        <v>87</v>
      </c>
      <c r="AE17" s="4" t="s">
        <v>55</v>
      </c>
      <c r="AF17" s="4" t="s">
        <v>55</v>
      </c>
      <c r="AT17" s="4" t="s">
        <v>51</v>
      </c>
      <c r="AU17" s="4" t="s">
        <v>52</v>
      </c>
      <c r="AV17" s="4" t="s">
        <v>82</v>
      </c>
      <c r="AW17" s="4" t="s">
        <v>81</v>
      </c>
      <c r="AX17" s="4" t="str">
        <f t="shared" si="1"/>
        <v>No</v>
      </c>
      <c r="AY17">
        <f>COUNTIFS([1]Stappen!$K:$K, B17, [1]Stappen!$O:$O, "No")</f>
        <v>1</v>
      </c>
      <c r="AZ17">
        <f>COUNTIFS([1]Stappen!$K:$K, B17, [1]Stappen!$P:$P, "Yes")</f>
        <v>0</v>
      </c>
      <c r="BA17">
        <f>COUNTIFS([1]Stappen!$K:$K, B17, [1]Stappen!$Q:$Q, "Yes")</f>
        <v>0</v>
      </c>
    </row>
    <row r="18" spans="1:53" x14ac:dyDescent="0.35">
      <c r="A18" s="2" t="s">
        <v>56</v>
      </c>
      <c r="B18" s="3" t="s">
        <v>101</v>
      </c>
      <c r="C18" s="4" t="s">
        <v>102</v>
      </c>
      <c r="G18" s="4" t="s">
        <v>103</v>
      </c>
      <c r="I18" s="4" t="s">
        <v>60</v>
      </c>
      <c r="J18" s="4" t="s">
        <v>55</v>
      </c>
      <c r="K18" s="4" t="s">
        <v>55</v>
      </c>
      <c r="L18" s="4" t="s">
        <v>55</v>
      </c>
      <c r="M18" s="4" t="s">
        <v>55</v>
      </c>
      <c r="N18" s="4" t="s">
        <v>55</v>
      </c>
      <c r="Y18" t="str">
        <f t="shared" si="0"/>
        <v/>
      </c>
      <c r="AT18" s="4" t="s">
        <v>51</v>
      </c>
      <c r="AU18" s="4" t="s">
        <v>52</v>
      </c>
      <c r="AV18" s="4" t="s">
        <v>54</v>
      </c>
      <c r="AW18" s="4" t="s">
        <v>61</v>
      </c>
      <c r="AX18" s="4" t="str">
        <f t="shared" si="1"/>
        <v>No</v>
      </c>
      <c r="AY18">
        <f>COUNTIFS([1]Stappen!$K:$K, B18, [1]Stappen!$O:$O, "No")</f>
        <v>1</v>
      </c>
      <c r="AZ18">
        <f>COUNTIFS([1]Stappen!$K:$K, B18, [1]Stappen!$P:$P, "Yes")</f>
        <v>0</v>
      </c>
      <c r="BA18">
        <f>COUNTIFS([1]Stappen!$K:$K, B18, [1]Stappen!$Q:$Q, "Yes")</f>
        <v>0</v>
      </c>
    </row>
    <row r="19" spans="1:53" x14ac:dyDescent="0.35">
      <c r="A19" s="2" t="s">
        <v>74</v>
      </c>
      <c r="B19" s="3" t="s">
        <v>104</v>
      </c>
      <c r="C19" s="4" t="s">
        <v>105</v>
      </c>
      <c r="G19" s="4" t="s">
        <v>104</v>
      </c>
      <c r="I19" s="4" t="s">
        <v>60</v>
      </c>
      <c r="J19" s="4" t="s">
        <v>55</v>
      </c>
      <c r="K19" s="4" t="s">
        <v>55</v>
      </c>
      <c r="S19" s="4" t="s">
        <v>0</v>
      </c>
      <c r="T19" s="4" t="s">
        <v>68</v>
      </c>
      <c r="W19" s="4" t="s">
        <v>70</v>
      </c>
      <c r="Y19" t="str">
        <f t="shared" si="0"/>
        <v/>
      </c>
      <c r="Z19" s="4" t="s">
        <v>70</v>
      </c>
      <c r="AA19" s="4" t="s">
        <v>94</v>
      </c>
      <c r="AE19" s="4" t="s">
        <v>55</v>
      </c>
      <c r="AF19" s="4" t="s">
        <v>55</v>
      </c>
      <c r="AT19" s="4" t="s">
        <v>51</v>
      </c>
      <c r="AU19" s="4" t="s">
        <v>52</v>
      </c>
      <c r="AV19" s="4" t="s">
        <v>103</v>
      </c>
      <c r="AW19" s="4" t="s">
        <v>102</v>
      </c>
      <c r="AX19" s="4" t="str">
        <f t="shared" si="1"/>
        <v>No</v>
      </c>
      <c r="AY19">
        <f>COUNTIFS([1]Stappen!$K:$K, B19, [1]Stappen!$O:$O, "No")</f>
        <v>1</v>
      </c>
      <c r="AZ19">
        <f>COUNTIFS([1]Stappen!$K:$K, B19, [1]Stappen!$P:$P, "Yes")</f>
        <v>0</v>
      </c>
      <c r="BA19">
        <f>COUNTIFS([1]Stappen!$K:$K, B19, [1]Stappen!$Q:$Q, "Yes")</f>
        <v>0</v>
      </c>
    </row>
    <row r="20" spans="1:53" x14ac:dyDescent="0.35">
      <c r="A20" s="2" t="s">
        <v>74</v>
      </c>
      <c r="B20" s="3" t="s">
        <v>106</v>
      </c>
      <c r="C20" s="4" t="s">
        <v>107</v>
      </c>
      <c r="G20" s="4" t="s">
        <v>106</v>
      </c>
      <c r="I20" s="4" t="s">
        <v>60</v>
      </c>
      <c r="J20" s="4" t="s">
        <v>55</v>
      </c>
      <c r="K20" s="4" t="s">
        <v>55</v>
      </c>
      <c r="S20" s="4" t="s">
        <v>0</v>
      </c>
      <c r="T20" s="4" t="s">
        <v>68</v>
      </c>
      <c r="W20" s="4" t="s">
        <v>70</v>
      </c>
      <c r="Y20" t="str">
        <f t="shared" si="0"/>
        <v/>
      </c>
      <c r="Z20" s="4" t="s">
        <v>70</v>
      </c>
      <c r="AA20" s="4" t="s">
        <v>108</v>
      </c>
      <c r="AE20" s="4" t="s">
        <v>55</v>
      </c>
      <c r="AF20" s="4" t="s">
        <v>55</v>
      </c>
      <c r="AT20" s="4" t="s">
        <v>51</v>
      </c>
      <c r="AU20" s="4" t="s">
        <v>52</v>
      </c>
      <c r="AV20" s="4" t="s">
        <v>103</v>
      </c>
      <c r="AW20" s="4" t="s">
        <v>102</v>
      </c>
      <c r="AX20" s="4" t="str">
        <f t="shared" si="1"/>
        <v>No</v>
      </c>
      <c r="AY20">
        <f>COUNTIFS([1]Stappen!$K:$K, B20, [1]Stappen!$O:$O, "No")</f>
        <v>1</v>
      </c>
      <c r="AZ20">
        <f>COUNTIFS([1]Stappen!$K:$K, B20, [1]Stappen!$P:$P, "Yes")</f>
        <v>0</v>
      </c>
      <c r="BA20">
        <f>COUNTIFS([1]Stappen!$K:$K, B20, [1]Stappen!$Q:$Q, "Yes")</f>
        <v>0</v>
      </c>
    </row>
    <row r="21" spans="1:53" x14ac:dyDescent="0.35">
      <c r="A21" s="2" t="s">
        <v>74</v>
      </c>
      <c r="B21" s="3" t="s">
        <v>109</v>
      </c>
      <c r="C21" s="4" t="s">
        <v>93</v>
      </c>
      <c r="G21" s="4" t="s">
        <v>109</v>
      </c>
      <c r="I21" s="4" t="s">
        <v>60</v>
      </c>
      <c r="J21" s="4" t="s">
        <v>55</v>
      </c>
      <c r="K21" s="4" t="s">
        <v>55</v>
      </c>
      <c r="S21" s="4" t="s">
        <v>0</v>
      </c>
      <c r="T21" s="4" t="s">
        <v>68</v>
      </c>
      <c r="W21" s="4" t="s">
        <v>70</v>
      </c>
      <c r="Y21" t="str">
        <f t="shared" si="0"/>
        <v/>
      </c>
      <c r="Z21" s="4" t="s">
        <v>70</v>
      </c>
      <c r="AA21" s="4" t="s">
        <v>94</v>
      </c>
      <c r="AE21" s="4" t="s">
        <v>55</v>
      </c>
      <c r="AF21" s="4" t="s">
        <v>55</v>
      </c>
      <c r="AT21" s="4" t="s">
        <v>51</v>
      </c>
      <c r="AU21" s="4" t="s">
        <v>52</v>
      </c>
      <c r="AV21" s="4" t="s">
        <v>103</v>
      </c>
      <c r="AW21" s="4" t="s">
        <v>102</v>
      </c>
      <c r="AX21" s="4" t="str">
        <f t="shared" si="1"/>
        <v>No</v>
      </c>
      <c r="AY21">
        <f>COUNTIFS([1]Stappen!$K:$K, B21, [1]Stappen!$O:$O, "No")</f>
        <v>1</v>
      </c>
      <c r="AZ21">
        <f>COUNTIFS([1]Stappen!$K:$K, B21, [1]Stappen!$P:$P, "Yes")</f>
        <v>0</v>
      </c>
      <c r="BA21">
        <f>COUNTIFS([1]Stappen!$K:$K, B21, [1]Stappen!$Q:$Q, "Yes")</f>
        <v>0</v>
      </c>
    </row>
    <row r="22" spans="1:53" x14ac:dyDescent="0.35">
      <c r="A22" s="2" t="s">
        <v>76</v>
      </c>
      <c r="B22" s="3" t="s">
        <v>110</v>
      </c>
      <c r="C22" s="4" t="s">
        <v>96</v>
      </c>
      <c r="D22" s="4" t="s">
        <v>87</v>
      </c>
      <c r="G22" s="4" t="s">
        <v>110</v>
      </c>
      <c r="R22" s="4" t="s">
        <v>67</v>
      </c>
      <c r="S22" s="4" t="s">
        <v>0</v>
      </c>
      <c r="Y22" t="str">
        <f t="shared" si="0"/>
        <v/>
      </c>
      <c r="AG22" s="4" t="s">
        <v>78</v>
      </c>
      <c r="AT22" s="4" t="s">
        <v>51</v>
      </c>
      <c r="AU22" s="4" t="s">
        <v>52</v>
      </c>
      <c r="AV22" s="4" t="s">
        <v>109</v>
      </c>
      <c r="AW22" s="4" t="s">
        <v>93</v>
      </c>
      <c r="AX22" s="4" t="str">
        <f t="shared" si="1"/>
        <v>No</v>
      </c>
      <c r="AY22">
        <f>COUNTIFS([1]Stappen!$K:$K, B22, [1]Stappen!$O:$O, "No")</f>
        <v>1</v>
      </c>
      <c r="AZ22">
        <f>COUNTIFS([1]Stappen!$K:$K, B22, [1]Stappen!$P:$P, "Yes")</f>
        <v>0</v>
      </c>
      <c r="BA22">
        <f>COUNTIFS([1]Stappen!$K:$K, B22, [1]Stappen!$Q:$Q, "Yes")</f>
        <v>0</v>
      </c>
    </row>
    <row r="23" spans="1:53" x14ac:dyDescent="0.35">
      <c r="A23" s="2" t="s">
        <v>74</v>
      </c>
      <c r="B23" s="3" t="s">
        <v>111</v>
      </c>
      <c r="C23" s="4" t="s">
        <v>112</v>
      </c>
      <c r="G23" s="4" t="s">
        <v>111</v>
      </c>
      <c r="I23" s="4" t="s">
        <v>60</v>
      </c>
      <c r="J23" s="4" t="s">
        <v>55</v>
      </c>
      <c r="K23" s="4" t="s">
        <v>55</v>
      </c>
      <c r="S23" s="4" t="s">
        <v>0</v>
      </c>
      <c r="T23" s="4" t="s">
        <v>68</v>
      </c>
      <c r="W23" s="4" t="s">
        <v>70</v>
      </c>
      <c r="Y23" t="str">
        <f t="shared" si="0"/>
        <v/>
      </c>
      <c r="Z23" s="4" t="s">
        <v>70</v>
      </c>
      <c r="AA23" s="4" t="s">
        <v>87</v>
      </c>
      <c r="AE23" s="4" t="s">
        <v>55</v>
      </c>
      <c r="AF23" s="4" t="s">
        <v>55</v>
      </c>
      <c r="AT23" s="4" t="s">
        <v>51</v>
      </c>
      <c r="AU23" s="4" t="s">
        <v>52</v>
      </c>
      <c r="AV23" s="4" t="s">
        <v>103</v>
      </c>
      <c r="AW23" s="4" t="s">
        <v>102</v>
      </c>
      <c r="AX23" s="4" t="str">
        <f t="shared" si="1"/>
        <v>No</v>
      </c>
      <c r="AY23">
        <f>COUNTIFS([1]Stappen!$K:$K, B23, [1]Stappen!$O:$O, "No")</f>
        <v>1</v>
      </c>
      <c r="AZ23">
        <f>COUNTIFS([1]Stappen!$K:$K, B23, [1]Stappen!$P:$P, "Yes")</f>
        <v>0</v>
      </c>
      <c r="BA23">
        <f>COUNTIFS([1]Stappen!$K:$K, B23, [1]Stappen!$Q:$Q, "Yes")</f>
        <v>0</v>
      </c>
    </row>
    <row r="24" spans="1:53" x14ac:dyDescent="0.35">
      <c r="A24" s="2" t="s">
        <v>74</v>
      </c>
      <c r="B24" s="3" t="s">
        <v>113</v>
      </c>
      <c r="C24" s="4" t="s">
        <v>98</v>
      </c>
      <c r="G24" s="4" t="s">
        <v>113</v>
      </c>
      <c r="I24" s="4" t="s">
        <v>60</v>
      </c>
      <c r="J24" s="4" t="s">
        <v>55</v>
      </c>
      <c r="K24" s="4" t="s">
        <v>55</v>
      </c>
      <c r="S24" s="4" t="s">
        <v>0</v>
      </c>
      <c r="T24" s="4" t="s">
        <v>68</v>
      </c>
      <c r="W24" s="4" t="s">
        <v>70</v>
      </c>
      <c r="Y24" t="str">
        <f t="shared" si="0"/>
        <v/>
      </c>
      <c r="Z24" s="4" t="s">
        <v>70</v>
      </c>
      <c r="AA24" s="4" t="s">
        <v>87</v>
      </c>
      <c r="AE24" s="4" t="s">
        <v>55</v>
      </c>
      <c r="AF24" s="4" t="s">
        <v>55</v>
      </c>
      <c r="AT24" s="4" t="s">
        <v>51</v>
      </c>
      <c r="AU24" s="4" t="s">
        <v>52</v>
      </c>
      <c r="AV24" s="4" t="s">
        <v>103</v>
      </c>
      <c r="AW24" s="4" t="s">
        <v>102</v>
      </c>
      <c r="AX24" s="4" t="str">
        <f t="shared" si="1"/>
        <v>No</v>
      </c>
      <c r="AY24">
        <f>COUNTIFS([1]Stappen!$K:$K, B24, [1]Stappen!$O:$O, "No")</f>
        <v>1</v>
      </c>
      <c r="AZ24">
        <f>COUNTIFS([1]Stappen!$K:$K, B24, [1]Stappen!$P:$P, "Yes")</f>
        <v>0</v>
      </c>
      <c r="BA24">
        <f>COUNTIFS([1]Stappen!$K:$K, B24, [1]Stappen!$Q:$Q, "Yes")</f>
        <v>0</v>
      </c>
    </row>
    <row r="25" spans="1:53" x14ac:dyDescent="0.35">
      <c r="A25" s="2" t="s">
        <v>74</v>
      </c>
      <c r="B25" s="3" t="s">
        <v>114</v>
      </c>
      <c r="C25" s="4" t="s">
        <v>115</v>
      </c>
      <c r="G25" s="4" t="s">
        <v>114</v>
      </c>
      <c r="I25" s="4" t="s">
        <v>60</v>
      </c>
      <c r="J25" s="4" t="s">
        <v>55</v>
      </c>
      <c r="K25" s="4" t="s">
        <v>55</v>
      </c>
      <c r="S25" s="4" t="s">
        <v>0</v>
      </c>
      <c r="T25" s="4" t="s">
        <v>68</v>
      </c>
      <c r="W25" s="4" t="s">
        <v>70</v>
      </c>
      <c r="Y25" t="str">
        <f t="shared" si="0"/>
        <v/>
      </c>
      <c r="Z25" s="4" t="s">
        <v>70</v>
      </c>
      <c r="AA25" s="4" t="s">
        <v>65</v>
      </c>
      <c r="AE25" s="4" t="s">
        <v>55</v>
      </c>
      <c r="AF25" s="4" t="s">
        <v>55</v>
      </c>
      <c r="AT25" s="4" t="s">
        <v>51</v>
      </c>
      <c r="AU25" s="4" t="s">
        <v>52</v>
      </c>
      <c r="AV25" s="4" t="s">
        <v>103</v>
      </c>
      <c r="AW25" s="4" t="s">
        <v>102</v>
      </c>
      <c r="AX25" s="4" t="str">
        <f t="shared" si="1"/>
        <v>No</v>
      </c>
      <c r="AY25">
        <f>COUNTIFS([1]Stappen!$K:$K, B25, [1]Stappen!$O:$O, "No")</f>
        <v>1</v>
      </c>
      <c r="AZ25">
        <f>COUNTIFS([1]Stappen!$K:$K, B25, [1]Stappen!$P:$P, "Yes")</f>
        <v>0</v>
      </c>
      <c r="BA25">
        <f>COUNTIFS([1]Stappen!$K:$K, B25, [1]Stappen!$Q:$Q, "Yes")</f>
        <v>0</v>
      </c>
    </row>
    <row r="26" spans="1:53" x14ac:dyDescent="0.35">
      <c r="A26" s="2" t="s">
        <v>74</v>
      </c>
      <c r="B26" s="3" t="s">
        <v>116</v>
      </c>
      <c r="C26" s="4" t="s">
        <v>100</v>
      </c>
      <c r="G26" s="4" t="s">
        <v>116</v>
      </c>
      <c r="I26" s="4" t="s">
        <v>60</v>
      </c>
      <c r="J26" s="4" t="s">
        <v>55</v>
      </c>
      <c r="K26" s="4" t="s">
        <v>55</v>
      </c>
      <c r="S26" s="4" t="s">
        <v>0</v>
      </c>
      <c r="T26" s="4" t="s">
        <v>68</v>
      </c>
      <c r="W26" s="4" t="s">
        <v>70</v>
      </c>
      <c r="Y26" t="str">
        <f t="shared" si="0"/>
        <v/>
      </c>
      <c r="Z26" s="4" t="s">
        <v>70</v>
      </c>
      <c r="AA26" s="4" t="s">
        <v>87</v>
      </c>
      <c r="AE26" s="4" t="s">
        <v>55</v>
      </c>
      <c r="AF26" s="4" t="s">
        <v>55</v>
      </c>
      <c r="AT26" s="4" t="s">
        <v>51</v>
      </c>
      <c r="AU26" s="4" t="s">
        <v>52</v>
      </c>
      <c r="AV26" s="4" t="s">
        <v>103</v>
      </c>
      <c r="AW26" s="4" t="s">
        <v>102</v>
      </c>
      <c r="AX26" s="4" t="str">
        <f t="shared" si="1"/>
        <v>No</v>
      </c>
      <c r="AY26">
        <f>COUNTIFS([1]Stappen!$K:$K, B26, [1]Stappen!$O:$O, "No")</f>
        <v>1</v>
      </c>
      <c r="AZ26">
        <f>COUNTIFS([1]Stappen!$K:$K, B26, [1]Stappen!$P:$P, "Yes")</f>
        <v>0</v>
      </c>
      <c r="BA26">
        <f>COUNTIFS([1]Stappen!$K:$K, B26, [1]Stappen!$Q:$Q, "Yes")</f>
        <v>0</v>
      </c>
    </row>
    <row r="27" spans="1:53" x14ac:dyDescent="0.35">
      <c r="A27" s="2" t="s">
        <v>117</v>
      </c>
      <c r="B27" s="3" t="s">
        <v>118</v>
      </c>
      <c r="G27" s="4" t="s">
        <v>119</v>
      </c>
      <c r="I27" s="4" t="s">
        <v>67</v>
      </c>
      <c r="J27" s="4" t="s">
        <v>55</v>
      </c>
      <c r="K27" s="4" t="s">
        <v>55</v>
      </c>
      <c r="V27" s="4" t="s">
        <v>55</v>
      </c>
      <c r="Y27" t="str">
        <f t="shared" si="0"/>
        <v/>
      </c>
      <c r="AI27" s="4" t="s">
        <v>80</v>
      </c>
      <c r="AK27" s="4" t="s">
        <v>67</v>
      </c>
      <c r="AL27" s="4" t="str">
        <f>IF($A27&lt;&gt;"Association","",IF($BA27&gt;=1,VLOOKUP($B27,[1]Export!$B:$AR,37,FALSE),[1]Stappen!$B$7))</f>
        <v>False</v>
      </c>
      <c r="AM27" s="4" t="s">
        <v>69</v>
      </c>
      <c r="AN27" s="4" t="s">
        <v>57</v>
      </c>
      <c r="AO27" s="4" t="str">
        <f>IF($A27&lt;&gt;"Association","",IF($BA27&gt;=1,VLOOKUP($B27,[1]Export!$B:$AR,40,FALSE),[1]Stappen!$B$5))</f>
        <v>huidigeKaart</v>
      </c>
      <c r="AP27" s="4" t="str">
        <f>IF($A27&lt;&gt;"Association","",IF($BA27&gt;=1,VLOOKUP($B27,[1]Export!$B:$AR,41,FALSE),[1]Stappen!$B$6))</f>
        <v>1</v>
      </c>
      <c r="AQ27" s="4" t="str">
        <f>IF($A27&lt;&gt;"Association","",IF($BA27&gt;=1,VLOOKUP($B27,[1]Export!$B:$AR,42,FALSE),[1]Stappen!$B$7))</f>
        <v>True</v>
      </c>
      <c r="AR27" s="4" t="s">
        <v>69</v>
      </c>
      <c r="AT27" s="4" t="s">
        <v>51</v>
      </c>
      <c r="AU27" s="4" t="s">
        <v>52</v>
      </c>
      <c r="AV27" s="4" t="s">
        <v>120</v>
      </c>
      <c r="AW27" s="4" t="s">
        <v>117</v>
      </c>
      <c r="AX27" s="4" t="str">
        <f t="shared" si="1"/>
        <v>No</v>
      </c>
      <c r="AY27">
        <f>COUNTIFS([1]Stappen!$K:$K, B27, [1]Stappen!$O:$O, "No")</f>
        <v>2</v>
      </c>
      <c r="AZ27">
        <f>COUNTIFS([1]Stappen!$K:$K, B27, [1]Stappen!$P:$P, "Yes")</f>
        <v>0</v>
      </c>
      <c r="BA27">
        <f>COUNTIFS([1]Stappen!$K:$K, B27, [1]Stappen!$Q:$Q, "Yes")</f>
        <v>1</v>
      </c>
    </row>
    <row r="28" spans="1:53" x14ac:dyDescent="0.35">
      <c r="A28" s="2" t="s">
        <v>117</v>
      </c>
      <c r="B28" s="3" t="s">
        <v>121</v>
      </c>
      <c r="G28" s="4" t="s">
        <v>122</v>
      </c>
      <c r="I28" s="4" t="s">
        <v>67</v>
      </c>
      <c r="J28" s="4" t="s">
        <v>55</v>
      </c>
      <c r="K28" s="4" t="s">
        <v>55</v>
      </c>
      <c r="V28" s="4" t="s">
        <v>55</v>
      </c>
      <c r="Y28" t="str">
        <f t="shared" si="0"/>
        <v/>
      </c>
      <c r="AI28" s="4" t="s">
        <v>80</v>
      </c>
      <c r="AK28" s="4" t="s">
        <v>67</v>
      </c>
      <c r="AL28" s="4" t="str">
        <f>IF($A28&lt;&gt;"Association","",IF($BA28&gt;=1,VLOOKUP($B28,[1]Export!$B:$AR,37,FALSE),[1]Stappen!$B$7))</f>
        <v>False</v>
      </c>
      <c r="AM28" s="4" t="s">
        <v>69</v>
      </c>
      <c r="AN28" s="4" t="s">
        <v>57</v>
      </c>
      <c r="AO28" s="4" t="str">
        <f>IF($A28&lt;&gt;"Association","",IF($BA28&gt;=1,VLOOKUP($B28,[1]Export!$B:$AR,40,FALSE),[1]Stappen!$B$5))</f>
        <v>trekstapel</v>
      </c>
      <c r="AP28" s="4" t="str">
        <f>IF($A28&lt;&gt;"Association","",IF($BA28&gt;=1,VLOOKUP($B28,[1]Export!$B:$AR,41,FALSE),[1]Stappen!$B$6))</f>
        <v>0..52</v>
      </c>
      <c r="AQ28" s="4" t="str">
        <f>IF($A28&lt;&gt;"Association","",IF($BA28&gt;=1,VLOOKUP($B28,[1]Export!$B:$AR,42,FALSE),[1]Stappen!$B$7))</f>
        <v>True</v>
      </c>
      <c r="AR28" s="4" t="s">
        <v>69</v>
      </c>
      <c r="AT28" s="4" t="s">
        <v>51</v>
      </c>
      <c r="AU28" s="4" t="s">
        <v>52</v>
      </c>
      <c r="AV28" s="4" t="s">
        <v>120</v>
      </c>
      <c r="AW28" s="4" t="s">
        <v>117</v>
      </c>
      <c r="AX28" s="4" t="str">
        <f t="shared" si="1"/>
        <v>No</v>
      </c>
      <c r="AY28">
        <f>COUNTIFS([1]Stappen!$K:$K, B28, [1]Stappen!$O:$O, "No")</f>
        <v>2</v>
      </c>
      <c r="AZ28">
        <f>COUNTIFS([1]Stappen!$K:$K, B28, [1]Stappen!$P:$P, "Yes")</f>
        <v>0</v>
      </c>
      <c r="BA28">
        <f>COUNTIFS([1]Stappen!$K:$K, B28, [1]Stappen!$Q:$Q, "Yes")</f>
        <v>1</v>
      </c>
    </row>
    <row r="29" spans="1:53" x14ac:dyDescent="0.35">
      <c r="A29" s="2" t="s">
        <v>117</v>
      </c>
      <c r="B29" s="3" t="s">
        <v>123</v>
      </c>
      <c r="G29" s="4" t="s">
        <v>124</v>
      </c>
      <c r="I29" s="4" t="s">
        <v>67</v>
      </c>
      <c r="J29" s="4" t="s">
        <v>55</v>
      </c>
      <c r="K29" s="4" t="s">
        <v>55</v>
      </c>
      <c r="V29" s="4" t="s">
        <v>55</v>
      </c>
      <c r="Y29" t="str">
        <f t="shared" si="0"/>
        <v/>
      </c>
      <c r="AI29" s="4" t="s">
        <v>101</v>
      </c>
      <c r="AK29" s="4" t="s">
        <v>67</v>
      </c>
      <c r="AL29" s="4" t="str">
        <f>IF($A29&lt;&gt;"Association","",IF($BA29&gt;=1,VLOOKUP($B29,[1]Export!$B:$AR,37,FALSE),[1]Stappen!$B$7))</f>
        <v>False</v>
      </c>
      <c r="AM29" s="4" t="s">
        <v>69</v>
      </c>
      <c r="AN29" s="4" t="s">
        <v>80</v>
      </c>
      <c r="AO29" s="4" t="str">
        <f>IF($A29&lt;&gt;"Association","",IF($BA29&gt;=1,VLOOKUP($B29,[1]Export!$B:$AR,40,FALSE),[1]Stappen!$B$5))</f>
        <v>hogerLager</v>
      </c>
      <c r="AP29" s="4" t="str">
        <f>IF($A29&lt;&gt;"Association","",IF($BA29&gt;=1,VLOOKUP($B29,[1]Export!$B:$AR,41,FALSE),[1]Stappen!$B$6))</f>
        <v>0..1</v>
      </c>
      <c r="AQ29" s="4" t="str">
        <f>IF($A29&lt;&gt;"Association","",IF($BA29&gt;=1,VLOOKUP($B29,[1]Export!$B:$AR,42,FALSE),[1]Stappen!$B$7))</f>
        <v>True</v>
      </c>
      <c r="AR29" s="4" t="s">
        <v>69</v>
      </c>
      <c r="AT29" s="4" t="s">
        <v>51</v>
      </c>
      <c r="AU29" s="4" t="s">
        <v>52</v>
      </c>
      <c r="AV29" s="4" t="s">
        <v>120</v>
      </c>
      <c r="AW29" s="4" t="s">
        <v>117</v>
      </c>
      <c r="AX29" s="4" t="str">
        <f t="shared" si="1"/>
        <v>No</v>
      </c>
      <c r="AY29">
        <f>COUNTIFS([1]Stappen!$K:$K, B29, [1]Stappen!$O:$O, "No")</f>
        <v>1</v>
      </c>
      <c r="AZ29">
        <f>COUNTIFS([1]Stappen!$K:$K, B29, [1]Stappen!$P:$P, "Yes")</f>
        <v>0</v>
      </c>
      <c r="BA29">
        <f>COUNTIFS([1]Stappen!$K:$K, B29, [1]Stappen!$Q:$Q, "Yes")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/>
  </sheetViews>
  <sheetFormatPr defaultRowHeight="14.5" x14ac:dyDescent="0.35"/>
  <cols>
    <col min="1" max="1" width="11" bestFit="1" customWidth="1"/>
    <col min="2" max="2" width="6.36328125" bestFit="1" customWidth="1"/>
    <col min="3" max="3" width="12.6328125" bestFit="1" customWidth="1"/>
    <col min="4" max="4" width="16.08984375" bestFit="1" customWidth="1"/>
    <col min="5" max="5" width="4.54296875" bestFit="1" customWidth="1"/>
    <col min="6" max="6" width="11.36328125" bestFit="1" customWidth="1"/>
  </cols>
  <sheetData>
    <row r="1" spans="1:6" x14ac:dyDescent="0.35">
      <c r="A1" s="5" t="s">
        <v>125</v>
      </c>
    </row>
    <row r="3" spans="1:6" x14ac:dyDescent="0.35">
      <c r="A3" s="2" t="s">
        <v>1</v>
      </c>
      <c r="B3" s="2" t="s">
        <v>2</v>
      </c>
      <c r="C3" s="2" t="s">
        <v>126</v>
      </c>
      <c r="D3" s="2" t="s">
        <v>127</v>
      </c>
      <c r="E3" s="1" t="s">
        <v>128</v>
      </c>
      <c r="F3" s="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"/>
  <sheetViews>
    <sheetView workbookViewId="0"/>
  </sheetViews>
  <sheetFormatPr defaultRowHeight="14.5" x14ac:dyDescent="0.35"/>
  <cols>
    <col min="1" max="1" width="21.6328125" bestFit="1" customWidth="1"/>
    <col min="2" max="2" width="3.1796875" bestFit="1" customWidth="1"/>
    <col min="3" max="3" width="9.26953125" bestFit="1" customWidth="1"/>
    <col min="4" max="4" width="13.1796875" bestFit="1" customWidth="1"/>
    <col min="5" max="5" width="11.90625" bestFit="1" customWidth="1"/>
    <col min="6" max="6" width="8.90625" bestFit="1" customWidth="1"/>
    <col min="7" max="7" width="8.7265625" bestFit="1" customWidth="1"/>
    <col min="8" max="8" width="5.26953125" bestFit="1" customWidth="1"/>
    <col min="9" max="9" width="11.36328125" bestFit="1" customWidth="1"/>
    <col min="10" max="11" width="12.6328125" bestFit="1" customWidth="1"/>
    <col min="12" max="12" width="10.08984375" bestFit="1" customWidth="1"/>
    <col min="13" max="13" width="12.90625" bestFit="1" customWidth="1"/>
    <col min="14" max="14" width="13.1796875" bestFit="1" customWidth="1"/>
    <col min="15" max="15" width="8.453125" bestFit="1" customWidth="1"/>
  </cols>
  <sheetData>
    <row r="1" spans="1:15" x14ac:dyDescent="0.35">
      <c r="A1" s="5" t="s">
        <v>129</v>
      </c>
    </row>
    <row r="3" spans="1:15" x14ac:dyDescent="0.35">
      <c r="A3" s="2" t="s">
        <v>130</v>
      </c>
      <c r="B3" s="2" t="s">
        <v>1</v>
      </c>
      <c r="C3" s="1" t="s">
        <v>6</v>
      </c>
      <c r="D3" s="1" t="s">
        <v>2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4</v>
      </c>
      <c r="K3" s="1" t="s">
        <v>14</v>
      </c>
      <c r="L3" s="1" t="s">
        <v>15</v>
      </c>
      <c r="M3" s="1" t="s">
        <v>47</v>
      </c>
      <c r="N3" s="1" t="s">
        <v>48</v>
      </c>
      <c r="O3" s="1" t="s">
        <v>49</v>
      </c>
    </row>
    <row r="4" spans="1:15" x14ac:dyDescent="0.35">
      <c r="B4" s="3" t="s">
        <v>54</v>
      </c>
      <c r="C4" s="4" t="s">
        <v>54</v>
      </c>
      <c r="D4" s="4" t="s">
        <v>61</v>
      </c>
      <c r="F4" s="4" t="s">
        <v>60</v>
      </c>
      <c r="G4" s="4" t="s">
        <v>55</v>
      </c>
      <c r="H4" s="4" t="s">
        <v>55</v>
      </c>
      <c r="I4" s="4" t="s">
        <v>55</v>
      </c>
      <c r="M4" s="4" t="s">
        <v>131</v>
      </c>
      <c r="N4" s="4" t="s">
        <v>132</v>
      </c>
    </row>
    <row r="6" spans="1:15" x14ac:dyDescent="0.35">
      <c r="A6" s="2" t="s">
        <v>133</v>
      </c>
      <c r="B6" s="2" t="s">
        <v>1</v>
      </c>
      <c r="C6" s="1" t="s">
        <v>6</v>
      </c>
      <c r="D6" s="1" t="s">
        <v>2</v>
      </c>
      <c r="E6" s="1" t="s">
        <v>7</v>
      </c>
      <c r="F6" s="1" t="s">
        <v>9</v>
      </c>
      <c r="G6" s="1" t="s">
        <v>10</v>
      </c>
      <c r="H6" s="1" t="s">
        <v>11</v>
      </c>
      <c r="I6" s="1" t="s">
        <v>4</v>
      </c>
      <c r="J6" s="1" t="s">
        <v>14</v>
      </c>
      <c r="K6" s="1" t="s">
        <v>15</v>
      </c>
      <c r="L6" s="1" t="s">
        <v>47</v>
      </c>
      <c r="M6" s="1" t="s">
        <v>48</v>
      </c>
      <c r="N6" s="1" t="s">
        <v>49</v>
      </c>
    </row>
    <row r="7" spans="1:15" x14ac:dyDescent="0.35">
      <c r="B7" s="3" t="s">
        <v>131</v>
      </c>
      <c r="C7" s="4" t="s">
        <v>131</v>
      </c>
      <c r="D7" s="4" t="s">
        <v>132</v>
      </c>
      <c r="F7" s="4" t="s">
        <v>55</v>
      </c>
      <c r="G7" s="4" t="s">
        <v>55</v>
      </c>
      <c r="H7" s="4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0"/>
  <sheetViews>
    <sheetView topLeftCell="A16" workbookViewId="0">
      <selection activeCell="B22" sqref="B22"/>
    </sheetView>
  </sheetViews>
  <sheetFormatPr defaultRowHeight="14.5" x14ac:dyDescent="0.35"/>
  <cols>
    <col min="1" max="1" width="32" customWidth="1"/>
    <col min="2" max="2" width="21" bestFit="1" customWidth="1"/>
    <col min="3" max="3" width="5.1796875" bestFit="1" customWidth="1"/>
  </cols>
  <sheetData>
    <row r="1" spans="1:3" x14ac:dyDescent="0.35">
      <c r="A1" s="6" t="s">
        <v>134</v>
      </c>
    </row>
    <row r="2" spans="1:3" x14ac:dyDescent="0.35">
      <c r="A2" s="4" t="s">
        <v>135</v>
      </c>
    </row>
    <row r="3" spans="1:3" x14ac:dyDescent="0.35">
      <c r="A3" s="4" t="s">
        <v>137</v>
      </c>
      <c r="B3" s="4" t="s">
        <v>57</v>
      </c>
      <c r="C3" s="4" t="s">
        <v>136</v>
      </c>
    </row>
    <row r="4" spans="1:3" x14ac:dyDescent="0.35">
      <c r="A4" s="4" t="s">
        <v>51</v>
      </c>
      <c r="B4" s="4" t="s">
        <v>138</v>
      </c>
    </row>
    <row r="5" spans="1:3" x14ac:dyDescent="0.35">
      <c r="A5" s="4" t="s">
        <v>54</v>
      </c>
      <c r="B5" s="4" t="s">
        <v>139</v>
      </c>
    </row>
    <row r="6" spans="1:3" x14ac:dyDescent="0.35">
      <c r="A6" s="4" t="s">
        <v>57</v>
      </c>
      <c r="B6" s="4" t="s">
        <v>140</v>
      </c>
    </row>
    <row r="7" spans="1:3" x14ac:dyDescent="0.35">
      <c r="A7" s="4" t="s">
        <v>59</v>
      </c>
      <c r="B7" s="4" t="s">
        <v>141</v>
      </c>
    </row>
    <row r="8" spans="1:3" x14ac:dyDescent="0.35">
      <c r="A8" s="4" t="s">
        <v>63</v>
      </c>
      <c r="B8" s="4" t="s">
        <v>142</v>
      </c>
    </row>
    <row r="9" spans="1:3" x14ac:dyDescent="0.35">
      <c r="A9" s="4" t="s">
        <v>71</v>
      </c>
      <c r="B9" s="4" t="s">
        <v>143</v>
      </c>
    </row>
    <row r="10" spans="1:3" x14ac:dyDescent="0.35">
      <c r="A10" s="4" t="s">
        <v>75</v>
      </c>
      <c r="B10" s="4" t="s">
        <v>144</v>
      </c>
    </row>
    <row r="11" spans="1:3" x14ac:dyDescent="0.35">
      <c r="A11" s="4" t="s">
        <v>77</v>
      </c>
      <c r="B11" s="4" t="s">
        <v>145</v>
      </c>
    </row>
    <row r="12" spans="1:3" x14ac:dyDescent="0.35">
      <c r="A12" s="4" t="s">
        <v>79</v>
      </c>
      <c r="B12" s="4" t="s">
        <v>146</v>
      </c>
    </row>
    <row r="13" spans="1:3" x14ac:dyDescent="0.35">
      <c r="A13" s="4" t="s">
        <v>80</v>
      </c>
      <c r="B13" s="4" t="s">
        <v>147</v>
      </c>
    </row>
    <row r="14" spans="1:3" x14ac:dyDescent="0.35">
      <c r="A14" s="4" t="s">
        <v>82</v>
      </c>
      <c r="B14" s="4" t="s">
        <v>148</v>
      </c>
    </row>
    <row r="15" spans="1:3" x14ac:dyDescent="0.35">
      <c r="A15" s="4" t="s">
        <v>83</v>
      </c>
      <c r="B15" s="4" t="s">
        <v>149</v>
      </c>
    </row>
    <row r="16" spans="1:3" x14ac:dyDescent="0.35">
      <c r="A16" s="4" t="s">
        <v>85</v>
      </c>
      <c r="B16" s="4" t="s">
        <v>150</v>
      </c>
    </row>
    <row r="17" spans="1:2" x14ac:dyDescent="0.35">
      <c r="A17" s="4" t="s">
        <v>88</v>
      </c>
      <c r="B17" s="4" t="s">
        <v>151</v>
      </c>
    </row>
    <row r="18" spans="1:2" x14ac:dyDescent="0.35">
      <c r="A18" s="4" t="s">
        <v>89</v>
      </c>
      <c r="B18" s="4" t="s">
        <v>152</v>
      </c>
    </row>
    <row r="19" spans="1:2" x14ac:dyDescent="0.35">
      <c r="A19" s="4" t="s">
        <v>92</v>
      </c>
      <c r="B19" s="4" t="s">
        <v>153</v>
      </c>
    </row>
    <row r="20" spans="1:2" x14ac:dyDescent="0.35">
      <c r="A20" s="4" t="s">
        <v>95</v>
      </c>
      <c r="B20" s="4" t="s">
        <v>154</v>
      </c>
    </row>
    <row r="21" spans="1:2" x14ac:dyDescent="0.35">
      <c r="A21" s="4" t="s">
        <v>97</v>
      </c>
      <c r="B21" s="4" t="s">
        <v>155</v>
      </c>
    </row>
    <row r="22" spans="1:2" x14ac:dyDescent="0.35">
      <c r="A22" s="4" t="s">
        <v>99</v>
      </c>
      <c r="B22" s="4" t="s">
        <v>156</v>
      </c>
    </row>
    <row r="23" spans="1:2" x14ac:dyDescent="0.35">
      <c r="A23" s="4" t="s">
        <v>101</v>
      </c>
      <c r="B23" s="4" t="s">
        <v>157</v>
      </c>
    </row>
    <row r="24" spans="1:2" x14ac:dyDescent="0.35">
      <c r="A24" s="4" t="s">
        <v>103</v>
      </c>
      <c r="B24" s="4" t="s">
        <v>158</v>
      </c>
    </row>
    <row r="25" spans="1:2" x14ac:dyDescent="0.35">
      <c r="A25" s="4" t="s">
        <v>104</v>
      </c>
      <c r="B25" s="4" t="s">
        <v>159</v>
      </c>
    </row>
    <row r="26" spans="1:2" x14ac:dyDescent="0.35">
      <c r="A26" s="4" t="s">
        <v>106</v>
      </c>
      <c r="B26" s="4" t="s">
        <v>160</v>
      </c>
    </row>
    <row r="27" spans="1:2" x14ac:dyDescent="0.35">
      <c r="A27" s="4" t="s">
        <v>109</v>
      </c>
      <c r="B27" s="4" t="s">
        <v>161</v>
      </c>
    </row>
    <row r="28" spans="1:2" x14ac:dyDescent="0.35">
      <c r="A28" s="4" t="s">
        <v>110</v>
      </c>
      <c r="B28" s="4" t="s">
        <v>162</v>
      </c>
    </row>
    <row r="29" spans="1:2" x14ac:dyDescent="0.35">
      <c r="A29" s="4" t="s">
        <v>111</v>
      </c>
      <c r="B29" s="4" t="s">
        <v>163</v>
      </c>
    </row>
    <row r="30" spans="1:2" x14ac:dyDescent="0.35">
      <c r="A30" s="4" t="s">
        <v>113</v>
      </c>
      <c r="B30" s="4" t="s">
        <v>164</v>
      </c>
    </row>
    <row r="31" spans="1:2" x14ac:dyDescent="0.35">
      <c r="A31" s="4" t="s">
        <v>114</v>
      </c>
      <c r="B31" s="4" t="s">
        <v>165</v>
      </c>
    </row>
    <row r="32" spans="1:2" x14ac:dyDescent="0.35">
      <c r="A32" s="4" t="s">
        <v>116</v>
      </c>
      <c r="B32" s="4" t="s">
        <v>166</v>
      </c>
    </row>
    <row r="33" spans="1:2" x14ac:dyDescent="0.35">
      <c r="A33" s="4" t="s">
        <v>118</v>
      </c>
      <c r="B33" s="4" t="s">
        <v>167</v>
      </c>
    </row>
    <row r="34" spans="1:2" x14ac:dyDescent="0.35">
      <c r="A34" s="4" t="s">
        <v>119</v>
      </c>
      <c r="B34" s="4" t="s">
        <v>168</v>
      </c>
    </row>
    <row r="35" spans="1:2" x14ac:dyDescent="0.35">
      <c r="A35" s="4" t="s">
        <v>120</v>
      </c>
      <c r="B35" s="4" t="s">
        <v>169</v>
      </c>
    </row>
    <row r="36" spans="1:2" x14ac:dyDescent="0.35">
      <c r="A36" s="4" t="s">
        <v>121</v>
      </c>
      <c r="B36" s="4" t="s">
        <v>170</v>
      </c>
    </row>
    <row r="37" spans="1:2" x14ac:dyDescent="0.35">
      <c r="A37" s="4" t="s">
        <v>122</v>
      </c>
      <c r="B37" s="4" t="s">
        <v>171</v>
      </c>
    </row>
    <row r="38" spans="1:2" x14ac:dyDescent="0.35">
      <c r="A38" s="4" t="s">
        <v>123</v>
      </c>
      <c r="B38" s="4" t="s">
        <v>172</v>
      </c>
    </row>
    <row r="39" spans="1:2" x14ac:dyDescent="0.35">
      <c r="A39" s="4" t="s">
        <v>124</v>
      </c>
      <c r="B39" s="4" t="s">
        <v>173</v>
      </c>
    </row>
    <row r="40" spans="1:2" x14ac:dyDescent="0.35">
      <c r="A40" s="4" t="s">
        <v>131</v>
      </c>
      <c r="B40" s="4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DCD domein</vt:lpstr>
      <vt:lpstr>References</vt:lpstr>
      <vt:lpstr>Diagram Parent Model</vt:lpstr>
      <vt:lpstr>System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Fien Spriet</cp:lastModifiedBy>
  <dcterms:created xsi:type="dcterms:W3CDTF">2025-11-01T15:04:31Z</dcterms:created>
  <dcterms:modified xsi:type="dcterms:W3CDTF">2025-11-01T16:44:18Z</dcterms:modified>
</cp:coreProperties>
</file>