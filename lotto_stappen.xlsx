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spr805\Documents\Git projecten\OOSD I\H05\H05_oefOpl\"/>
    </mc:Choice>
  </mc:AlternateContent>
  <xr:revisionPtr revIDLastSave="0" documentId="13_ncr:1_{88D35B8C-5BC9-4769-ADB0-8966557850C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Sheet1!$D$1:$O$66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1" l="1"/>
  <c r="N36" i="1"/>
  <c r="D33" i="1" l="1"/>
  <c r="D31" i="1"/>
  <c r="K25" i="1"/>
  <c r="K26" i="1"/>
  <c r="K27" i="1"/>
  <c r="O27" i="1"/>
  <c r="D7" i="1"/>
  <c r="D10" i="1" s="1"/>
  <c r="D4" i="1"/>
  <c r="D5" i="1"/>
  <c r="D6" i="1"/>
  <c r="D3" i="1"/>
  <c r="O22" i="1"/>
  <c r="O23" i="1"/>
  <c r="O24" i="1"/>
  <c r="O28" i="1"/>
  <c r="O29" i="1"/>
  <c r="O30" i="1"/>
  <c r="O31" i="1"/>
  <c r="O32" i="1"/>
  <c r="O33" i="1"/>
  <c r="O34" i="1"/>
  <c r="O35" i="1"/>
  <c r="O36" i="1"/>
  <c r="K23" i="1"/>
  <c r="K24" i="1"/>
  <c r="K28" i="1"/>
  <c r="K29" i="1"/>
  <c r="D8" i="1" l="1"/>
  <c r="D12" i="1"/>
  <c r="D16" i="1" s="1"/>
  <c r="D11" i="1"/>
  <c r="D9" i="1"/>
  <c r="K35" i="1"/>
  <c r="K36" i="1"/>
  <c r="D13" i="1" l="1"/>
  <c r="D15" i="1"/>
  <c r="N15" i="1" s="1"/>
  <c r="D14" i="1"/>
  <c r="D18" i="1"/>
  <c r="D17" i="1"/>
  <c r="N17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N3" i="1"/>
  <c r="N4" i="1"/>
  <c r="N5" i="1"/>
  <c r="N6" i="1"/>
  <c r="N7" i="1"/>
  <c r="N8" i="1"/>
  <c r="N9" i="1"/>
  <c r="N10" i="1"/>
  <c r="N11" i="1"/>
  <c r="N12" i="1"/>
  <c r="N13" i="1"/>
  <c r="N14" i="1"/>
  <c r="N1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0" i="1"/>
  <c r="K31" i="1"/>
  <c r="K32" i="1"/>
  <c r="K33" i="1"/>
  <c r="K34" i="1"/>
  <c r="K2" i="1"/>
  <c r="D19" i="1" l="1"/>
  <c r="D20" i="1" s="1"/>
  <c r="D21" i="1" s="1"/>
  <c r="D23" i="1" s="1"/>
  <c r="N18" i="1"/>
  <c r="N19" i="1"/>
  <c r="O2" i="1"/>
  <c r="N2" i="1"/>
  <c r="D22" i="1" l="1"/>
  <c r="N22" i="1" s="1"/>
  <c r="N20" i="1"/>
  <c r="N21" i="1"/>
  <c r="D24" i="1"/>
  <c r="D25" i="1" s="1"/>
  <c r="N23" i="1"/>
  <c r="N25" i="1" l="1"/>
  <c r="O25" i="1"/>
  <c r="D26" i="1"/>
  <c r="D27" i="1"/>
  <c r="N27" i="1" s="1"/>
  <c r="N24" i="1"/>
  <c r="O26" i="1" l="1"/>
  <c r="N26" i="1"/>
  <c r="D29" i="1"/>
  <c r="D28" i="1"/>
  <c r="N28" i="1" s="1"/>
  <c r="N29" i="1" l="1"/>
  <c r="D30" i="1"/>
  <c r="N30" i="1" s="1"/>
  <c r="D32" i="1" l="1"/>
  <c r="N31" i="1"/>
  <c r="N32" i="1" l="1"/>
  <c r="N33" i="1" l="1"/>
  <c r="D34" i="1"/>
  <c r="N34" i="1" s="1"/>
  <c r="D35" i="1"/>
  <c r="D36" i="1" l="1"/>
</calcChain>
</file>

<file path=xl/sharedStrings.xml><?xml version="1.0" encoding="utf-8"?>
<sst xmlns="http://schemas.openxmlformats.org/spreadsheetml/2006/main" count="266" uniqueCount="99">
  <si>
    <t>IT 1</t>
  </si>
  <si>
    <t>wat?</t>
  </si>
  <si>
    <t>DomeinController</t>
  </si>
  <si>
    <t>AX</t>
  </si>
  <si>
    <t>No</t>
  </si>
  <si>
    <t>AH</t>
  </si>
  <si>
    <t>Yes</t>
  </si>
  <si>
    <t>Stappen</t>
  </si>
  <si>
    <t>Iteratie</t>
  </si>
  <si>
    <t>Toon tem stap:</t>
  </si>
  <si>
    <t>AX (delete)</t>
  </si>
  <si>
    <t>AH (getter)</t>
  </si>
  <si>
    <t>Default AX</t>
  </si>
  <si>
    <t>Default AH</t>
  </si>
  <si>
    <t>Klasse</t>
  </si>
  <si>
    <t>Methode</t>
  </si>
  <si>
    <t>Attribuut</t>
  </si>
  <si>
    <t>Associatie</t>
  </si>
  <si>
    <t>Parameter</t>
  </si>
  <si>
    <t>DC</t>
  </si>
  <si>
    <t>ID VP</t>
  </si>
  <si>
    <t>ID VP (nr)</t>
  </si>
  <si>
    <t>Controller registreerTrekking</t>
  </si>
  <si>
    <t>lDjjsK6GAqAAlQpz</t>
  </si>
  <si>
    <t>methode registreerTrekking</t>
  </si>
  <si>
    <t>tDjjsK6GAqAAlQp3</t>
  </si>
  <si>
    <t>dDjjsK6GAqAAlQp4</t>
  </si>
  <si>
    <t>1dIA9KGFYEg8BAjV</t>
  </si>
  <si>
    <t>dDjjsK6GAqAAlQp5</t>
  </si>
  <si>
    <t>IT1</t>
  </si>
  <si>
    <t>Klasse Trekking</t>
  </si>
  <si>
    <t>Trekking</t>
  </si>
  <si>
    <t>7DjjsK6GAqAAlQp.</t>
  </si>
  <si>
    <t>attr naam</t>
  </si>
  <si>
    <t>attr datum</t>
  </si>
  <si>
    <t>attr nummers</t>
  </si>
  <si>
    <t>IT2</t>
  </si>
  <si>
    <t>attr aantalNummers</t>
  </si>
  <si>
    <t>XDjjsK6GAqAAlQqG</t>
  </si>
  <si>
    <t>sDFA9KGFYEg8BAkO</t>
  </si>
  <si>
    <t>PDjjsK6GAqAAlQqH</t>
  </si>
  <si>
    <t>921A9KGFYEg8BAke</t>
  </si>
  <si>
    <t>Ctor Trekking</t>
  </si>
  <si>
    <t>ctor Trekking</t>
  </si>
  <si>
    <t>param naam</t>
  </si>
  <si>
    <t>param datum</t>
  </si>
  <si>
    <t>param nummers</t>
  </si>
  <si>
    <t>nDjjsK6GAqAAlQqB</t>
  </si>
  <si>
    <t>nDjjsK6GAqAAlQqC</t>
  </si>
  <si>
    <t>dTQA9KGFYEg8BAjG</t>
  </si>
  <si>
    <t>XDjjsK6GAqAAlQqD</t>
  </si>
  <si>
    <t>Klasse TrekkingRepo</t>
  </si>
  <si>
    <t>TrekkingRepo</t>
  </si>
  <si>
    <t>gjjjsK6GAqAAlQqM</t>
  </si>
  <si>
    <t>ass repo -&gt; trekking</t>
  </si>
  <si>
    <t>UjjjsK6GAqAAlQqU</t>
  </si>
  <si>
    <t>Ctor TrekkingRepo</t>
  </si>
  <si>
    <t>ctor TrekkingRepo</t>
  </si>
  <si>
    <t>wjjjsK6GAqAAlQqP</t>
  </si>
  <si>
    <t>Ctor DomeinController</t>
  </si>
  <si>
    <t>ctor DC</t>
  </si>
  <si>
    <t>NDjjsK6GAqAAlQp2</t>
  </si>
  <si>
    <t>ass DC -&gt; Repo</t>
  </si>
  <si>
    <t>ass dc -&gt; repo</t>
  </si>
  <si>
    <t>ajjjsK6GAqAAlQql</t>
  </si>
  <si>
    <t>voegToe</t>
  </si>
  <si>
    <t>voegTrekkingToe</t>
  </si>
  <si>
    <t>IjjjsK6GAqAAlQqQ</t>
  </si>
  <si>
    <t>ojjjsK6GAqAAlQqR</t>
  </si>
  <si>
    <t>attr trekking</t>
  </si>
  <si>
    <t>Controller selecteerTrekking</t>
  </si>
  <si>
    <t>methode selecteerTrekking</t>
  </si>
  <si>
    <t>rWLjsK6GAqAAlQq7</t>
  </si>
  <si>
    <t>CZ7jsK6GAqAAlQq9</t>
  </si>
  <si>
    <t>geefTrekking</t>
  </si>
  <si>
    <t>methode geefTrekking</t>
  </si>
  <si>
    <t>KiwTsK6GAqAAlQrQ</t>
  </si>
  <si>
    <t>KFYTsK6GAqAAlQrU</t>
  </si>
  <si>
    <t>attr naam getter</t>
  </si>
  <si>
    <t>ass DC -&gt; trekking</t>
  </si>
  <si>
    <t>ass dc -&gt; trekking</t>
  </si>
  <si>
    <t>.6NTsK6GAqAAlQsR</t>
  </si>
  <si>
    <t>attr datum getter</t>
  </si>
  <si>
    <t>Controller geefWinst</t>
  </si>
  <si>
    <t>methode geefWinst</t>
  </si>
  <si>
    <t>Trekking geefWinst</t>
  </si>
  <si>
    <t>methode geefAlleTrekkingen</t>
  </si>
  <si>
    <t>kQqB_FmAUAACUAmC</t>
  </si>
  <si>
    <t>Controller geefAlleTrekkingen</t>
  </si>
  <si>
    <t>Repo: getTrekkingen</t>
  </si>
  <si>
    <t>methode getTrekkingen</t>
  </si>
  <si>
    <t>Bmah_FmAUAACUAnF</t>
  </si>
  <si>
    <t>Controller geefDetailsGeselecteerdeTrekking</t>
  </si>
  <si>
    <t>methode geefDetailsGeselecteerdeTrekking</t>
  </si>
  <si>
    <t>txGB_FmAUAACUAmP</t>
  </si>
  <si>
    <t>bRDB_FmAUAACUAm3</t>
  </si>
  <si>
    <t>ERr5_FmAUAACUAo9</t>
  </si>
  <si>
    <t>CkLx_FmAUAACUAnW</t>
  </si>
  <si>
    <t>cV75_FmAUAACUApH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</si>
</sst>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pr805\Documents\Git%20projecten\OOSD%20I\H05\H05_oefOpl\lotto_exportVP.xlsx" TargetMode="External"/><Relationship Id="rId1" Type="http://schemas.openxmlformats.org/officeDocument/2006/relationships/externalLinkPath" Target="lotto_exportV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D2"/>
      <sheetName val="References"/>
      <sheetName val="Diagram Parent Model"/>
      <sheetName val="System Data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WARNING: Do NOT modify this sheet</v>
          </cell>
        </row>
        <row r="2">
          <cell r="A2" t="str">
            <v>20250813</v>
          </cell>
        </row>
        <row r="3">
          <cell r="A3" t="str">
            <v>0e47f23f355187d2c692d18bf467b61c</v>
          </cell>
          <cell r="B3" t="str">
            <v>3</v>
          </cell>
        </row>
        <row r="4">
          <cell r="A4" t="str">
            <v>1</v>
          </cell>
          <cell r="B4" t="str">
            <v>w9jjsK6GAqAAlQpt</v>
          </cell>
        </row>
        <row r="5">
          <cell r="A5" t="str">
            <v>2</v>
          </cell>
          <cell r="B5" t="str">
            <v>8VIw9KGFYEg8BA94</v>
          </cell>
        </row>
        <row r="6">
          <cell r="A6" t="str">
            <v>3</v>
          </cell>
          <cell r="B6" t="str">
            <v>gjjjsK6GAqAAlQqM</v>
          </cell>
        </row>
        <row r="7">
          <cell r="A7" t="str">
            <v>4</v>
          </cell>
          <cell r="B7" t="str">
            <v>QjjjsK6GAqAAlQqO</v>
          </cell>
        </row>
        <row r="8">
          <cell r="A8" t="str">
            <v>5</v>
          </cell>
          <cell r="B8" t="str">
            <v>wjjjsK6GAqAAlQqP</v>
          </cell>
        </row>
        <row r="9">
          <cell r="A9" t="str">
            <v>6</v>
          </cell>
          <cell r="B9" t="str">
            <v>IjjjsK6GAqAAlQqQ</v>
          </cell>
        </row>
        <row r="10">
          <cell r="A10" t="str">
            <v>7</v>
          </cell>
          <cell r="B10" t="str">
            <v>ojjjsK6GAqAAlQqR</v>
          </cell>
        </row>
        <row r="11">
          <cell r="A11" t="str">
            <v>8</v>
          </cell>
          <cell r="B11" t="str">
            <v>Bmah_FmAUAACUAnF</v>
          </cell>
        </row>
        <row r="12">
          <cell r="A12" t="str">
            <v>9</v>
          </cell>
          <cell r="B12" t="str">
            <v>KiwTsK6GAqAAlQrQ</v>
          </cell>
        </row>
        <row r="13">
          <cell r="A13" t="str">
            <v>10</v>
          </cell>
          <cell r="B13" t="str">
            <v>KFYTsK6GAqAAlQrU</v>
          </cell>
        </row>
        <row r="14">
          <cell r="A14" t="str">
            <v>11</v>
          </cell>
          <cell r="B14" t="str">
            <v>7DjjsK6GAqAAlQp.</v>
          </cell>
        </row>
        <row r="15">
          <cell r="A15" t="str">
            <v>12</v>
          </cell>
          <cell r="B15" t="str">
            <v>HDjjsK6GAqAAlQqA</v>
          </cell>
        </row>
        <row r="16">
          <cell r="A16" t="str">
            <v>13</v>
          </cell>
          <cell r="B16" t="str">
            <v>XDjjsK6GAqAAlQqG</v>
          </cell>
        </row>
        <row r="17">
          <cell r="A17" t="str">
            <v>14</v>
          </cell>
          <cell r="B17" t="str">
            <v>sDFA9KGFYEg8BAkO</v>
          </cell>
        </row>
        <row r="18">
          <cell r="A18" t="str">
            <v>15</v>
          </cell>
          <cell r="B18" t="str">
            <v>PDjjsK6GAqAAlQqH</v>
          </cell>
        </row>
        <row r="19">
          <cell r="A19" t="str">
            <v>16</v>
          </cell>
          <cell r="B19" t="str">
            <v>921A9KGFYEg8BAke</v>
          </cell>
        </row>
        <row r="20">
          <cell r="A20" t="str">
            <v>17</v>
          </cell>
          <cell r="B20" t="str">
            <v>nDjjsK6GAqAAlQqB</v>
          </cell>
        </row>
        <row r="21">
          <cell r="A21" t="str">
            <v>18</v>
          </cell>
          <cell r="B21" t="str">
            <v>nDjjsK6GAqAAlQqC</v>
          </cell>
        </row>
        <row r="22">
          <cell r="A22" t="str">
            <v>19</v>
          </cell>
          <cell r="B22" t="str">
            <v>dTQA9KGFYEg8BAjG</v>
          </cell>
        </row>
        <row r="23">
          <cell r="A23" t="str">
            <v>20</v>
          </cell>
          <cell r="B23" t="str">
            <v>XDjjsK6GAqAAlQqD</v>
          </cell>
        </row>
        <row r="24">
          <cell r="A24" t="str">
            <v>21</v>
          </cell>
          <cell r="B24" t="str">
            <v>CkLx_FmAUAACUAnW</v>
          </cell>
        </row>
        <row r="25">
          <cell r="A25" t="str">
            <v>22</v>
          </cell>
          <cell r="B25" t="str">
            <v>cV75_FmAUAACUApH</v>
          </cell>
        </row>
        <row r="26">
          <cell r="A26" t="str">
            <v>23</v>
          </cell>
          <cell r="B26" t="str">
            <v>lDjjsK6GAqAAlQpz</v>
          </cell>
        </row>
        <row r="27">
          <cell r="A27" t="str">
            <v>24</v>
          </cell>
          <cell r="B27" t="str">
            <v>lDjjsK6GAqAAlQp1</v>
          </cell>
        </row>
        <row r="28">
          <cell r="A28" t="str">
            <v>25</v>
          </cell>
          <cell r="B28" t="str">
            <v>NDjjsK6GAqAAlQp2</v>
          </cell>
        </row>
        <row r="29">
          <cell r="A29" t="str">
            <v>26</v>
          </cell>
          <cell r="B29" t="str">
            <v>tDjjsK6GAqAAlQp3</v>
          </cell>
        </row>
        <row r="30">
          <cell r="A30" t="str">
            <v>27</v>
          </cell>
          <cell r="B30" t="str">
            <v>dDjjsK6GAqAAlQp4</v>
          </cell>
        </row>
        <row r="31">
          <cell r="A31" t="str">
            <v>28</v>
          </cell>
          <cell r="B31" t="str">
            <v>1dIA9KGFYEg8BAjV</v>
          </cell>
        </row>
        <row r="32">
          <cell r="A32" t="str">
            <v>29</v>
          </cell>
          <cell r="B32" t="str">
            <v>dDjjsK6GAqAAlQp5</v>
          </cell>
        </row>
        <row r="33">
          <cell r="A33" t="str">
            <v>30</v>
          </cell>
          <cell r="B33" t="str">
            <v>kQqB_FmAUAACUAmC</v>
          </cell>
        </row>
        <row r="34">
          <cell r="A34" t="str">
            <v>31</v>
          </cell>
          <cell r="B34" t="str">
            <v>rWLjsK6GAqAAlQq7</v>
          </cell>
        </row>
        <row r="35">
          <cell r="A35" t="str">
            <v>32</v>
          </cell>
          <cell r="B35" t="str">
            <v>CZ7jsK6GAqAAlQq9</v>
          </cell>
        </row>
        <row r="36">
          <cell r="A36" t="str">
            <v>33</v>
          </cell>
          <cell r="B36" t="str">
            <v>txGB_FmAUAACUAmP</v>
          </cell>
        </row>
        <row r="37">
          <cell r="A37" t="str">
            <v>34</v>
          </cell>
          <cell r="B37" t="str">
            <v>bRDB_FmAUAACUAm3</v>
          </cell>
        </row>
        <row r="38">
          <cell r="A38" t="str">
            <v>35</v>
          </cell>
          <cell r="B38" t="str">
            <v>ERr5_FmAUAACUAo9</v>
          </cell>
        </row>
        <row r="39">
          <cell r="A39" t="str">
            <v>36</v>
          </cell>
          <cell r="B39" t="str">
            <v>UjjjsK6GAqAAlQqU</v>
          </cell>
        </row>
        <row r="40">
          <cell r="A40" t="str">
            <v>37</v>
          </cell>
          <cell r="B40" t="str">
            <v>AUDgsK6FYEg4JRfN</v>
          </cell>
        </row>
        <row r="41">
          <cell r="A41" t="str">
            <v>38</v>
          </cell>
          <cell r="B41" t="str">
            <v>0jjjsK6GAqAAlQqW</v>
          </cell>
        </row>
        <row r="42">
          <cell r="A42" t="str">
            <v>39</v>
          </cell>
          <cell r="B42" t="str">
            <v>dfPgsK6FYEg4JRfv</v>
          </cell>
        </row>
        <row r="43">
          <cell r="A43" t="str">
            <v>40</v>
          </cell>
          <cell r="B43" t="str">
            <v>ajjjsK6GAqAAlQql</v>
          </cell>
        </row>
        <row r="44">
          <cell r="A44" t="str">
            <v>41</v>
          </cell>
          <cell r="B44" t="str">
            <v>etbgsK6FYEg4JRfi</v>
          </cell>
        </row>
        <row r="45">
          <cell r="A45" t="str">
            <v>42</v>
          </cell>
          <cell r="B45" t="str">
            <v>ajjjsK6GAqAAlQqn</v>
          </cell>
        </row>
        <row r="46">
          <cell r="A46" t="str">
            <v>43</v>
          </cell>
          <cell r="B46" t="str">
            <v>.6NTsK6GAqAAlQsR</v>
          </cell>
        </row>
        <row r="47">
          <cell r="A47" t="str">
            <v>44</v>
          </cell>
          <cell r="B47" t="str">
            <v>U6NTsK6GAqAAlQsM</v>
          </cell>
        </row>
        <row r="48">
          <cell r="A48" t="str">
            <v>45</v>
          </cell>
          <cell r="B48" t="str">
            <v>3xSjsK6GAqAAlQpQ</v>
          </cell>
        </row>
        <row r="49">
          <cell r="A49" t="str">
            <v>46</v>
          </cell>
          <cell r="B49" t="str">
            <v>sQwfMK6FYEg4JRSQ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B1" sqref="B1"/>
    </sheetView>
  </sheetViews>
  <sheetFormatPr defaultRowHeight="14.5" x14ac:dyDescent="0.35"/>
  <cols>
    <col min="1" max="1" width="13.6328125" bestFit="1" customWidth="1"/>
    <col min="6" max="6" width="29" bestFit="1" customWidth="1"/>
    <col min="7" max="7" width="9.81640625" bestFit="1" customWidth="1"/>
    <col min="8" max="8" width="9.81640625" customWidth="1"/>
    <col min="9" max="9" width="37.6328125" bestFit="1" customWidth="1"/>
    <col min="10" max="10" width="37.6328125" customWidth="1"/>
    <col min="11" max="11" width="11.26953125" bestFit="1" customWidth="1"/>
    <col min="12" max="12" width="10.6328125" bestFit="1" customWidth="1"/>
    <col min="13" max="13" width="10.36328125" bestFit="1" customWidth="1"/>
  </cols>
  <sheetData>
    <row r="1" spans="1:15" x14ac:dyDescent="0.35">
      <c r="A1" s="1" t="s">
        <v>9</v>
      </c>
      <c r="B1" s="1">
        <v>17</v>
      </c>
      <c r="D1" t="s">
        <v>7</v>
      </c>
      <c r="E1" t="s">
        <v>8</v>
      </c>
      <c r="G1" t="s">
        <v>1</v>
      </c>
      <c r="H1" t="s">
        <v>14</v>
      </c>
      <c r="J1" t="s">
        <v>20</v>
      </c>
      <c r="K1" t="s">
        <v>21</v>
      </c>
      <c r="L1" t="s">
        <v>10</v>
      </c>
      <c r="M1" t="s">
        <v>11</v>
      </c>
      <c r="N1" t="s">
        <v>3</v>
      </c>
      <c r="O1" t="s">
        <v>5</v>
      </c>
    </row>
    <row r="2" spans="1:15" x14ac:dyDescent="0.35">
      <c r="D2">
        <v>1</v>
      </c>
      <c r="E2" t="s">
        <v>0</v>
      </c>
      <c r="F2" t="s">
        <v>22</v>
      </c>
      <c r="G2" t="s">
        <v>14</v>
      </c>
      <c r="H2" t="s">
        <v>19</v>
      </c>
      <c r="I2" t="s">
        <v>2</v>
      </c>
      <c r="J2" s="2" t="s">
        <v>23</v>
      </c>
      <c r="K2" t="str">
        <f>INDEX('[1]System Data'!$A:$A,MATCH(J2,'[1]System Data'!$B:$B,0))</f>
        <v>23</v>
      </c>
      <c r="L2" t="s">
        <v>4</v>
      </c>
      <c r="N2" t="str">
        <f t="shared" ref="N2:N36" si="0">IF(D2&lt;=$B$1, L2, $B$3)</f>
        <v>No</v>
      </c>
      <c r="O2" t="str">
        <f t="shared" ref="O2:O36" si="1">IF(ISBLANK(M2), "", IF(D2&lt;=$B$1, M2, $B$4))</f>
        <v/>
      </c>
    </row>
    <row r="3" spans="1:15" x14ac:dyDescent="0.35">
      <c r="A3" s="1" t="s">
        <v>12</v>
      </c>
      <c r="B3" s="1" t="s">
        <v>6</v>
      </c>
      <c r="D3">
        <f>$D$2</f>
        <v>1</v>
      </c>
      <c r="E3" t="s">
        <v>0</v>
      </c>
      <c r="F3" t="s">
        <v>22</v>
      </c>
      <c r="G3" t="s">
        <v>15</v>
      </c>
      <c r="H3" t="s">
        <v>19</v>
      </c>
      <c r="I3" t="s">
        <v>24</v>
      </c>
      <c r="J3" s="2" t="s">
        <v>25</v>
      </c>
      <c r="K3" t="str">
        <f>INDEX('[1]System Data'!$A:$A,MATCH(J3,'[1]System Data'!$B:$B,0))</f>
        <v>26</v>
      </c>
      <c r="L3" t="s">
        <v>4</v>
      </c>
      <c r="N3" t="str">
        <f t="shared" si="0"/>
        <v>No</v>
      </c>
      <c r="O3" t="str">
        <f t="shared" si="1"/>
        <v/>
      </c>
    </row>
    <row r="4" spans="1:15" x14ac:dyDescent="0.35">
      <c r="A4" s="1" t="s">
        <v>13</v>
      </c>
      <c r="B4" s="1" t="s">
        <v>4</v>
      </c>
      <c r="D4">
        <f t="shared" ref="D4:D6" si="2">$D$2</f>
        <v>1</v>
      </c>
      <c r="E4" t="s">
        <v>0</v>
      </c>
      <c r="F4" t="s">
        <v>22</v>
      </c>
      <c r="G4" t="s">
        <v>18</v>
      </c>
      <c r="H4" t="s">
        <v>19</v>
      </c>
      <c r="I4" t="s">
        <v>44</v>
      </c>
      <c r="J4" s="2" t="s">
        <v>26</v>
      </c>
      <c r="K4" t="str">
        <f>INDEX('[1]System Data'!$A:$A,MATCH(J4,'[1]System Data'!$B:$B,0))</f>
        <v>27</v>
      </c>
      <c r="L4" t="s">
        <v>4</v>
      </c>
      <c r="N4" t="str">
        <f t="shared" si="0"/>
        <v>No</v>
      </c>
      <c r="O4" t="str">
        <f t="shared" si="1"/>
        <v/>
      </c>
    </row>
    <row r="5" spans="1:15" x14ac:dyDescent="0.35">
      <c r="D5">
        <f t="shared" si="2"/>
        <v>1</v>
      </c>
      <c r="E5" t="s">
        <v>0</v>
      </c>
      <c r="F5" t="s">
        <v>22</v>
      </c>
      <c r="G5" t="s">
        <v>18</v>
      </c>
      <c r="H5" t="s">
        <v>19</v>
      </c>
      <c r="I5" t="s">
        <v>45</v>
      </c>
      <c r="J5" s="2" t="s">
        <v>27</v>
      </c>
      <c r="K5" t="str">
        <f>INDEX('[1]System Data'!$A:$A,MATCH(J5,'[1]System Data'!$B:$B,0))</f>
        <v>28</v>
      </c>
      <c r="L5" t="s">
        <v>4</v>
      </c>
      <c r="N5" t="str">
        <f t="shared" si="0"/>
        <v>No</v>
      </c>
      <c r="O5" t="str">
        <f t="shared" si="1"/>
        <v/>
      </c>
    </row>
    <row r="6" spans="1:15" x14ac:dyDescent="0.35">
      <c r="D6">
        <f t="shared" si="2"/>
        <v>1</v>
      </c>
      <c r="E6" t="s">
        <v>0</v>
      </c>
      <c r="F6" t="s">
        <v>22</v>
      </c>
      <c r="G6" t="s">
        <v>18</v>
      </c>
      <c r="H6" t="s">
        <v>19</v>
      </c>
      <c r="I6" t="s">
        <v>46</v>
      </c>
      <c r="J6" s="2" t="s">
        <v>28</v>
      </c>
      <c r="K6" t="str">
        <f>INDEX('[1]System Data'!$A:$A,MATCH(J6,'[1]System Data'!$B:$B,0))</f>
        <v>29</v>
      </c>
      <c r="L6" t="s">
        <v>4</v>
      </c>
      <c r="N6" t="str">
        <f t="shared" si="0"/>
        <v>No</v>
      </c>
      <c r="O6" t="str">
        <f t="shared" si="1"/>
        <v/>
      </c>
    </row>
    <row r="7" spans="1:15" x14ac:dyDescent="0.35">
      <c r="D7">
        <f>$D$2+1</f>
        <v>2</v>
      </c>
      <c r="E7" t="s">
        <v>29</v>
      </c>
      <c r="F7" t="s">
        <v>30</v>
      </c>
      <c r="G7" t="s">
        <v>14</v>
      </c>
      <c r="H7" t="s">
        <v>31</v>
      </c>
      <c r="I7" t="s">
        <v>31</v>
      </c>
      <c r="J7" s="2" t="s">
        <v>32</v>
      </c>
      <c r="K7" t="str">
        <f>INDEX('[1]System Data'!$A:$A,MATCH(J7,'[1]System Data'!$B:$B,0))</f>
        <v>11</v>
      </c>
      <c r="L7" t="s">
        <v>4</v>
      </c>
      <c r="N7" t="str">
        <f t="shared" si="0"/>
        <v>No</v>
      </c>
      <c r="O7" t="str">
        <f t="shared" si="1"/>
        <v/>
      </c>
    </row>
    <row r="8" spans="1:15" x14ac:dyDescent="0.35">
      <c r="D8">
        <f>$D$7</f>
        <v>2</v>
      </c>
      <c r="E8" t="s">
        <v>29</v>
      </c>
      <c r="F8" t="s">
        <v>30</v>
      </c>
      <c r="G8" t="s">
        <v>16</v>
      </c>
      <c r="H8" t="s">
        <v>31</v>
      </c>
      <c r="I8" t="s">
        <v>33</v>
      </c>
      <c r="J8" s="2" t="s">
        <v>38</v>
      </c>
      <c r="K8" t="str">
        <f>INDEX('[1]System Data'!$A:$A,MATCH(J8,'[1]System Data'!$B:$B,0))</f>
        <v>13</v>
      </c>
      <c r="L8" t="s">
        <v>4</v>
      </c>
      <c r="M8" t="s">
        <v>4</v>
      </c>
      <c r="N8" t="str">
        <f t="shared" si="0"/>
        <v>No</v>
      </c>
      <c r="O8" t="str">
        <f t="shared" si="1"/>
        <v>No</v>
      </c>
    </row>
    <row r="9" spans="1:15" x14ac:dyDescent="0.35">
      <c r="D9">
        <f t="shared" ref="D9:D11" si="3">$D$7</f>
        <v>2</v>
      </c>
      <c r="E9" t="s">
        <v>29</v>
      </c>
      <c r="F9" t="s">
        <v>30</v>
      </c>
      <c r="G9" t="s">
        <v>16</v>
      </c>
      <c r="H9" t="s">
        <v>31</v>
      </c>
      <c r="I9" t="s">
        <v>34</v>
      </c>
      <c r="J9" s="2" t="s">
        <v>39</v>
      </c>
      <c r="K9" t="str">
        <f>INDEX('[1]System Data'!$A:$A,MATCH(J9,'[1]System Data'!$B:$B,0))</f>
        <v>14</v>
      </c>
      <c r="L9" t="s">
        <v>4</v>
      </c>
      <c r="M9" t="s">
        <v>4</v>
      </c>
      <c r="N9" t="str">
        <f t="shared" si="0"/>
        <v>No</v>
      </c>
      <c r="O9" t="str">
        <f t="shared" si="1"/>
        <v>No</v>
      </c>
    </row>
    <row r="10" spans="1:15" x14ac:dyDescent="0.35">
      <c r="D10">
        <f t="shared" si="3"/>
        <v>2</v>
      </c>
      <c r="E10" t="s">
        <v>29</v>
      </c>
      <c r="F10" t="s">
        <v>30</v>
      </c>
      <c r="G10" t="s">
        <v>16</v>
      </c>
      <c r="H10" t="s">
        <v>31</v>
      </c>
      <c r="I10" t="s">
        <v>35</v>
      </c>
      <c r="J10" s="2" t="s">
        <v>40</v>
      </c>
      <c r="K10" t="str">
        <f>INDEX('[1]System Data'!$A:$A,MATCH(J10,'[1]System Data'!$B:$B,0))</f>
        <v>15</v>
      </c>
      <c r="L10" t="s">
        <v>4</v>
      </c>
      <c r="M10" t="s">
        <v>4</v>
      </c>
      <c r="N10" t="str">
        <f t="shared" si="0"/>
        <v>No</v>
      </c>
      <c r="O10" t="str">
        <f t="shared" si="1"/>
        <v>No</v>
      </c>
    </row>
    <row r="11" spans="1:15" x14ac:dyDescent="0.35">
      <c r="D11">
        <f t="shared" si="3"/>
        <v>2</v>
      </c>
      <c r="E11" t="s">
        <v>29</v>
      </c>
      <c r="F11" t="s">
        <v>30</v>
      </c>
      <c r="G11" t="s">
        <v>16</v>
      </c>
      <c r="H11" t="s">
        <v>31</v>
      </c>
      <c r="I11" t="s">
        <v>37</v>
      </c>
      <c r="J11" s="2" t="s">
        <v>41</v>
      </c>
      <c r="K11" t="str">
        <f>INDEX('[1]System Data'!$A:$A,MATCH(J11,'[1]System Data'!$B:$B,0))</f>
        <v>16</v>
      </c>
      <c r="L11" t="s">
        <v>4</v>
      </c>
      <c r="M11" t="s">
        <v>4</v>
      </c>
      <c r="N11" t="str">
        <f t="shared" si="0"/>
        <v>No</v>
      </c>
      <c r="O11" t="str">
        <f t="shared" si="1"/>
        <v>No</v>
      </c>
    </row>
    <row r="12" spans="1:15" x14ac:dyDescent="0.35">
      <c r="D12">
        <f>$D$7+1</f>
        <v>3</v>
      </c>
      <c r="E12" t="s">
        <v>29</v>
      </c>
      <c r="F12" t="s">
        <v>42</v>
      </c>
      <c r="G12" t="s">
        <v>15</v>
      </c>
      <c r="H12" t="s">
        <v>31</v>
      </c>
      <c r="I12" t="s">
        <v>43</v>
      </c>
      <c r="J12" s="2" t="s">
        <v>47</v>
      </c>
      <c r="K12" t="str">
        <f>INDEX('[1]System Data'!$A:$A,MATCH(J12,'[1]System Data'!$B:$B,0))</f>
        <v>17</v>
      </c>
      <c r="L12" t="s">
        <v>4</v>
      </c>
      <c r="N12" t="str">
        <f t="shared" si="0"/>
        <v>No</v>
      </c>
      <c r="O12" t="str">
        <f t="shared" si="1"/>
        <v/>
      </c>
    </row>
    <row r="13" spans="1:15" x14ac:dyDescent="0.35">
      <c r="D13">
        <f>$D$12</f>
        <v>3</v>
      </c>
      <c r="E13" t="s">
        <v>29</v>
      </c>
      <c r="F13" t="s">
        <v>42</v>
      </c>
      <c r="G13" t="s">
        <v>18</v>
      </c>
      <c r="H13" t="s">
        <v>31</v>
      </c>
      <c r="I13" t="s">
        <v>44</v>
      </c>
      <c r="J13" s="2" t="s">
        <v>48</v>
      </c>
      <c r="K13" t="str">
        <f>INDEX('[1]System Data'!$A:$A,MATCH(J13,'[1]System Data'!$B:$B,0))</f>
        <v>18</v>
      </c>
      <c r="L13" t="s">
        <v>4</v>
      </c>
      <c r="N13" t="str">
        <f t="shared" si="0"/>
        <v>No</v>
      </c>
      <c r="O13" t="str">
        <f t="shared" si="1"/>
        <v/>
      </c>
    </row>
    <row r="14" spans="1:15" x14ac:dyDescent="0.35">
      <c r="D14">
        <f t="shared" ref="D14:D15" si="4">$D$12</f>
        <v>3</v>
      </c>
      <c r="E14" t="s">
        <v>29</v>
      </c>
      <c r="F14" t="s">
        <v>42</v>
      </c>
      <c r="G14" t="s">
        <v>18</v>
      </c>
      <c r="H14" t="s">
        <v>31</v>
      </c>
      <c r="I14" t="s">
        <v>45</v>
      </c>
      <c r="J14" s="2" t="s">
        <v>49</v>
      </c>
      <c r="K14" t="str">
        <f>INDEX('[1]System Data'!$A:$A,MATCH(J14,'[1]System Data'!$B:$B,0))</f>
        <v>19</v>
      </c>
      <c r="L14" t="s">
        <v>4</v>
      </c>
      <c r="N14" t="str">
        <f t="shared" si="0"/>
        <v>No</v>
      </c>
      <c r="O14" t="str">
        <f t="shared" si="1"/>
        <v/>
      </c>
    </row>
    <row r="15" spans="1:15" x14ac:dyDescent="0.35">
      <c r="D15">
        <f t="shared" si="4"/>
        <v>3</v>
      </c>
      <c r="E15" t="s">
        <v>29</v>
      </c>
      <c r="F15" t="s">
        <v>42</v>
      </c>
      <c r="G15" t="s">
        <v>18</v>
      </c>
      <c r="H15" t="s">
        <v>31</v>
      </c>
      <c r="I15" t="s">
        <v>46</v>
      </c>
      <c r="J15" s="2" t="s">
        <v>50</v>
      </c>
      <c r="K15" t="str">
        <f>INDEX('[1]System Data'!$A:$A,MATCH(J15,'[1]System Data'!$B:$B,0))</f>
        <v>20</v>
      </c>
      <c r="L15" t="s">
        <v>4</v>
      </c>
      <c r="N15" t="str">
        <f t="shared" si="0"/>
        <v>No</v>
      </c>
      <c r="O15" t="str">
        <f t="shared" si="1"/>
        <v/>
      </c>
    </row>
    <row r="16" spans="1:15" x14ac:dyDescent="0.35">
      <c r="D16">
        <f>$D$12+1</f>
        <v>4</v>
      </c>
      <c r="E16" t="s">
        <v>29</v>
      </c>
      <c r="F16" t="s">
        <v>51</v>
      </c>
      <c r="G16" t="s">
        <v>14</v>
      </c>
      <c r="H16" t="s">
        <v>52</v>
      </c>
      <c r="I16" t="s">
        <v>52</v>
      </c>
      <c r="J16" s="2" t="s">
        <v>53</v>
      </c>
      <c r="K16" t="str">
        <f>INDEX('[1]System Data'!$A:$A,MATCH(J16,'[1]System Data'!$B:$B,0))</f>
        <v>3</v>
      </c>
      <c r="L16" t="s">
        <v>4</v>
      </c>
      <c r="N16" t="str">
        <f t="shared" si="0"/>
        <v>No</v>
      </c>
      <c r="O16" t="str">
        <f t="shared" si="1"/>
        <v/>
      </c>
    </row>
    <row r="17" spans="4:15" x14ac:dyDescent="0.35">
      <c r="D17">
        <f>$D$16</f>
        <v>4</v>
      </c>
      <c r="E17" t="s">
        <v>29</v>
      </c>
      <c r="F17" t="s">
        <v>51</v>
      </c>
      <c r="G17" t="s">
        <v>17</v>
      </c>
      <c r="H17" t="s">
        <v>17</v>
      </c>
      <c r="I17" t="s">
        <v>54</v>
      </c>
      <c r="J17" s="2" t="s">
        <v>55</v>
      </c>
      <c r="K17" t="str">
        <f>INDEX('[1]System Data'!$A:$A,MATCH(J17,'[1]System Data'!$B:$B,0))</f>
        <v>36</v>
      </c>
      <c r="L17" t="s">
        <v>4</v>
      </c>
      <c r="N17" t="str">
        <f t="shared" si="0"/>
        <v>No</v>
      </c>
      <c r="O17" t="str">
        <f t="shared" si="1"/>
        <v/>
      </c>
    </row>
    <row r="18" spans="4:15" x14ac:dyDescent="0.35">
      <c r="D18">
        <f>$D$16+1</f>
        <v>5</v>
      </c>
      <c r="E18" t="s">
        <v>29</v>
      </c>
      <c r="F18" t="s">
        <v>56</v>
      </c>
      <c r="G18" t="s">
        <v>15</v>
      </c>
      <c r="H18" t="s">
        <v>52</v>
      </c>
      <c r="I18" t="s">
        <v>57</v>
      </c>
      <c r="J18" s="2" t="s">
        <v>58</v>
      </c>
      <c r="K18" t="str">
        <f>INDEX('[1]System Data'!$A:$A,MATCH(J18,'[1]System Data'!$B:$B,0))</f>
        <v>5</v>
      </c>
      <c r="L18" t="s">
        <v>4</v>
      </c>
      <c r="N18" t="str">
        <f t="shared" si="0"/>
        <v>No</v>
      </c>
      <c r="O18" t="str">
        <f t="shared" si="1"/>
        <v/>
      </c>
    </row>
    <row r="19" spans="4:15" x14ac:dyDescent="0.35">
      <c r="D19">
        <f>$D$18+1</f>
        <v>6</v>
      </c>
      <c r="E19" t="s">
        <v>29</v>
      </c>
      <c r="F19" t="s">
        <v>59</v>
      </c>
      <c r="G19" t="s">
        <v>15</v>
      </c>
      <c r="H19" t="s">
        <v>19</v>
      </c>
      <c r="I19" t="s">
        <v>60</v>
      </c>
      <c r="J19" s="2" t="s">
        <v>61</v>
      </c>
      <c r="K19" t="str">
        <f>INDEX('[1]System Data'!$A:$A,MATCH(J19,'[1]System Data'!$B:$B,0))</f>
        <v>25</v>
      </c>
      <c r="L19" t="s">
        <v>4</v>
      </c>
      <c r="N19" t="str">
        <f t="shared" si="0"/>
        <v>No</v>
      </c>
      <c r="O19" t="str">
        <f t="shared" si="1"/>
        <v/>
      </c>
    </row>
    <row r="20" spans="4:15" x14ac:dyDescent="0.35">
      <c r="D20">
        <f>$D$19+1</f>
        <v>7</v>
      </c>
      <c r="E20" t="s">
        <v>29</v>
      </c>
      <c r="F20" t="s">
        <v>62</v>
      </c>
      <c r="G20" t="s">
        <v>17</v>
      </c>
      <c r="H20" t="s">
        <v>17</v>
      </c>
      <c r="I20" t="s">
        <v>63</v>
      </c>
      <c r="J20" s="2" t="s">
        <v>64</v>
      </c>
      <c r="K20" t="str">
        <f>INDEX('[1]System Data'!$A:$A,MATCH(J20,'[1]System Data'!$B:$B,0))</f>
        <v>40</v>
      </c>
      <c r="L20" t="s">
        <v>4</v>
      </c>
      <c r="N20" t="str">
        <f t="shared" si="0"/>
        <v>No</v>
      </c>
      <c r="O20" t="str">
        <f t="shared" si="1"/>
        <v/>
      </c>
    </row>
    <row r="21" spans="4:15" x14ac:dyDescent="0.35">
      <c r="D21">
        <f>$D$20+1</f>
        <v>8</v>
      </c>
      <c r="E21" t="s">
        <v>29</v>
      </c>
      <c r="F21" t="s">
        <v>65</v>
      </c>
      <c r="G21" t="s">
        <v>15</v>
      </c>
      <c r="H21" t="s">
        <v>52</v>
      </c>
      <c r="I21" t="s">
        <v>66</v>
      </c>
      <c r="J21" s="2" t="s">
        <v>67</v>
      </c>
      <c r="K21" t="str">
        <f>INDEX('[1]System Data'!$A:$A,MATCH(J21,'[1]System Data'!$B:$B,0))</f>
        <v>6</v>
      </c>
      <c r="L21" t="s">
        <v>4</v>
      </c>
      <c r="N21" t="str">
        <f t="shared" si="0"/>
        <v>No</v>
      </c>
      <c r="O21" t="str">
        <f t="shared" si="1"/>
        <v/>
      </c>
    </row>
    <row r="22" spans="4:15" x14ac:dyDescent="0.35">
      <c r="D22">
        <f>$D$21</f>
        <v>8</v>
      </c>
      <c r="E22" t="s">
        <v>29</v>
      </c>
      <c r="F22" t="s">
        <v>65</v>
      </c>
      <c r="G22" t="s">
        <v>18</v>
      </c>
      <c r="H22" t="s">
        <v>52</v>
      </c>
      <c r="I22" t="s">
        <v>69</v>
      </c>
      <c r="J22" s="2" t="s">
        <v>68</v>
      </c>
      <c r="K22" t="str">
        <f>INDEX('[1]System Data'!$A:$A,MATCH(J22,'[1]System Data'!$B:$B,0))</f>
        <v>7</v>
      </c>
      <c r="L22" t="s">
        <v>4</v>
      </c>
      <c r="N22" t="str">
        <f t="shared" si="0"/>
        <v>No</v>
      </c>
      <c r="O22" t="str">
        <f t="shared" si="1"/>
        <v/>
      </c>
    </row>
    <row r="23" spans="4:15" x14ac:dyDescent="0.35">
      <c r="D23">
        <f>$D$21+1</f>
        <v>9</v>
      </c>
      <c r="E23" t="s">
        <v>36</v>
      </c>
      <c r="F23" t="s">
        <v>88</v>
      </c>
      <c r="G23" t="s">
        <v>15</v>
      </c>
      <c r="H23" t="s">
        <v>19</v>
      </c>
      <c r="I23" t="s">
        <v>86</v>
      </c>
      <c r="J23" s="2" t="s">
        <v>87</v>
      </c>
      <c r="K23" t="str">
        <f>INDEX('[1]System Data'!$A:$A,MATCH(J23,'[1]System Data'!$B:$B,0))</f>
        <v>30</v>
      </c>
      <c r="L23" t="s">
        <v>4</v>
      </c>
      <c r="N23" t="str">
        <f t="shared" si="0"/>
        <v>No</v>
      </c>
      <c r="O23" t="str">
        <f t="shared" si="1"/>
        <v/>
      </c>
    </row>
    <row r="24" spans="4:15" x14ac:dyDescent="0.35">
      <c r="D24">
        <f>$D$23+1</f>
        <v>10</v>
      </c>
      <c r="E24" t="s">
        <v>36</v>
      </c>
      <c r="F24" t="s">
        <v>89</v>
      </c>
      <c r="G24" t="s">
        <v>15</v>
      </c>
      <c r="H24" t="s">
        <v>52</v>
      </c>
      <c r="I24" t="s">
        <v>90</v>
      </c>
      <c r="J24" s="2" t="s">
        <v>91</v>
      </c>
      <c r="K24" t="str">
        <f>INDEX('[1]System Data'!$A:$A,MATCH(J24,'[1]System Data'!$B:$B,0))</f>
        <v>8</v>
      </c>
      <c r="L24" t="s">
        <v>4</v>
      </c>
      <c r="N24" t="str">
        <f t="shared" si="0"/>
        <v>No</v>
      </c>
      <c r="O24" t="str">
        <f t="shared" si="1"/>
        <v/>
      </c>
    </row>
    <row r="25" spans="4:15" x14ac:dyDescent="0.35">
      <c r="D25">
        <f>$D$24+1</f>
        <v>11</v>
      </c>
      <c r="E25" t="s">
        <v>36</v>
      </c>
      <c r="F25" t="s">
        <v>30</v>
      </c>
      <c r="G25" t="s">
        <v>16</v>
      </c>
      <c r="H25" t="s">
        <v>31</v>
      </c>
      <c r="I25" t="s">
        <v>82</v>
      </c>
      <c r="J25" s="2" t="s">
        <v>39</v>
      </c>
      <c r="K25" t="str">
        <f>INDEX('[1]System Data'!$A:$A,MATCH(J25,'[1]System Data'!$B:$B,0))</f>
        <v>14</v>
      </c>
      <c r="L25" t="s">
        <v>4</v>
      </c>
      <c r="M25" t="s">
        <v>6</v>
      </c>
      <c r="N25" t="str">
        <f t="shared" ref="N25:N27" si="5">IF(D25&lt;=$B$1, L25, $B$3)</f>
        <v>No</v>
      </c>
      <c r="O25" t="str">
        <f t="shared" ref="O25:O27" si="6">IF(ISBLANK(M25), "", IF(D25&lt;=$B$1, M25, $B$4))</f>
        <v>Yes</v>
      </c>
    </row>
    <row r="26" spans="4:15" x14ac:dyDescent="0.35">
      <c r="D26">
        <f>$D$25</f>
        <v>11</v>
      </c>
      <c r="E26" t="s">
        <v>36</v>
      </c>
      <c r="F26" t="s">
        <v>30</v>
      </c>
      <c r="G26" t="s">
        <v>16</v>
      </c>
      <c r="H26" t="s">
        <v>31</v>
      </c>
      <c r="I26" t="s">
        <v>78</v>
      </c>
      <c r="J26" s="2" t="s">
        <v>38</v>
      </c>
      <c r="K26" t="str">
        <f>INDEX('[1]System Data'!$A:$A,MATCH(J26,'[1]System Data'!$B:$B,0))</f>
        <v>13</v>
      </c>
      <c r="L26" t="s">
        <v>4</v>
      </c>
      <c r="M26" t="s">
        <v>6</v>
      </c>
      <c r="N26" t="str">
        <f t="shared" si="5"/>
        <v>No</v>
      </c>
      <c r="O26" t="str">
        <f t="shared" si="6"/>
        <v>Yes</v>
      </c>
    </row>
    <row r="27" spans="4:15" x14ac:dyDescent="0.35">
      <c r="D27">
        <f>$D$25+1</f>
        <v>12</v>
      </c>
      <c r="E27" t="s">
        <v>36</v>
      </c>
      <c r="F27" t="s">
        <v>70</v>
      </c>
      <c r="G27" t="s">
        <v>15</v>
      </c>
      <c r="H27" t="s">
        <v>19</v>
      </c>
      <c r="I27" t="s">
        <v>71</v>
      </c>
      <c r="J27" s="2" t="s">
        <v>72</v>
      </c>
      <c r="K27" t="str">
        <f>INDEX('[1]System Data'!$A:$A,MATCH(J27,'[1]System Data'!$B:$B,0))</f>
        <v>31</v>
      </c>
      <c r="L27" t="s">
        <v>4</v>
      </c>
      <c r="N27" t="str">
        <f t="shared" si="5"/>
        <v>No</v>
      </c>
      <c r="O27" t="str">
        <f t="shared" si="6"/>
        <v/>
      </c>
    </row>
    <row r="28" spans="4:15" x14ac:dyDescent="0.35">
      <c r="D28">
        <f>$D$27</f>
        <v>12</v>
      </c>
      <c r="E28" t="s">
        <v>36</v>
      </c>
      <c r="F28" t="s">
        <v>70</v>
      </c>
      <c r="G28" t="s">
        <v>18</v>
      </c>
      <c r="H28" t="s">
        <v>19</v>
      </c>
      <c r="I28" t="s">
        <v>44</v>
      </c>
      <c r="J28" s="2" t="s">
        <v>73</v>
      </c>
      <c r="K28" t="str">
        <f>INDEX('[1]System Data'!$A:$A,MATCH(J28,'[1]System Data'!$B:$B,0))</f>
        <v>32</v>
      </c>
      <c r="L28" t="s">
        <v>4</v>
      </c>
      <c r="N28" t="str">
        <f t="shared" si="0"/>
        <v>No</v>
      </c>
      <c r="O28" t="str">
        <f t="shared" si="1"/>
        <v/>
      </c>
    </row>
    <row r="29" spans="4:15" x14ac:dyDescent="0.35">
      <c r="D29">
        <f>$D$27+1</f>
        <v>13</v>
      </c>
      <c r="E29" t="s">
        <v>36</v>
      </c>
      <c r="F29" t="s">
        <v>74</v>
      </c>
      <c r="G29" t="s">
        <v>15</v>
      </c>
      <c r="H29" t="s">
        <v>52</v>
      </c>
      <c r="I29" t="s">
        <v>75</v>
      </c>
      <c r="J29" s="2" t="s">
        <v>76</v>
      </c>
      <c r="K29" t="str">
        <f>INDEX('[1]System Data'!$A:$A,MATCH(J29,'[1]System Data'!$B:$B,0))</f>
        <v>9</v>
      </c>
      <c r="L29" t="s">
        <v>4</v>
      </c>
      <c r="N29" t="str">
        <f t="shared" si="0"/>
        <v>No</v>
      </c>
      <c r="O29" t="str">
        <f t="shared" si="1"/>
        <v/>
      </c>
    </row>
    <row r="30" spans="4:15" x14ac:dyDescent="0.35">
      <c r="D30">
        <f>$D$29</f>
        <v>13</v>
      </c>
      <c r="E30" t="s">
        <v>36</v>
      </c>
      <c r="F30" t="s">
        <v>74</v>
      </c>
      <c r="G30" t="s">
        <v>18</v>
      </c>
      <c r="H30" t="s">
        <v>52</v>
      </c>
      <c r="I30" t="s">
        <v>44</v>
      </c>
      <c r="J30" s="2" t="s">
        <v>77</v>
      </c>
      <c r="K30" t="str">
        <f>INDEX('[1]System Data'!$A:$A,MATCH(J30,'[1]System Data'!$B:$B,0))</f>
        <v>10</v>
      </c>
      <c r="L30" t="s">
        <v>4</v>
      </c>
      <c r="N30" t="str">
        <f t="shared" si="0"/>
        <v>No</v>
      </c>
      <c r="O30" t="str">
        <f t="shared" si="1"/>
        <v/>
      </c>
    </row>
    <row r="31" spans="4:15" x14ac:dyDescent="0.35">
      <c r="D31">
        <f>$D$29+1</f>
        <v>14</v>
      </c>
      <c r="E31" t="s">
        <v>36</v>
      </c>
      <c r="F31" t="s">
        <v>79</v>
      </c>
      <c r="G31" t="s">
        <v>17</v>
      </c>
      <c r="H31" t="s">
        <v>17</v>
      </c>
      <c r="I31" t="s">
        <v>80</v>
      </c>
      <c r="J31" s="2" t="s">
        <v>81</v>
      </c>
      <c r="K31" t="str">
        <f>INDEX('[1]System Data'!$A:$A,MATCH(J31,'[1]System Data'!$B:$B,0))</f>
        <v>43</v>
      </c>
      <c r="L31" t="s">
        <v>4</v>
      </c>
      <c r="N31" t="str">
        <f t="shared" si="0"/>
        <v>No</v>
      </c>
      <c r="O31" t="str">
        <f t="shared" si="1"/>
        <v/>
      </c>
    </row>
    <row r="32" spans="4:15" x14ac:dyDescent="0.35">
      <c r="D32">
        <f>$D$31+1</f>
        <v>15</v>
      </c>
      <c r="E32" t="s">
        <v>36</v>
      </c>
      <c r="F32" t="s">
        <v>92</v>
      </c>
      <c r="G32" t="s">
        <v>15</v>
      </c>
      <c r="H32" t="s">
        <v>19</v>
      </c>
      <c r="I32" t="s">
        <v>93</v>
      </c>
      <c r="J32" s="2" t="s">
        <v>94</v>
      </c>
      <c r="K32" t="str">
        <f>INDEX('[1]System Data'!$A:$A,MATCH(J32,'[1]System Data'!$B:$B,0))</f>
        <v>33</v>
      </c>
      <c r="L32" t="s">
        <v>4</v>
      </c>
      <c r="N32" t="str">
        <f t="shared" si="0"/>
        <v>No</v>
      </c>
      <c r="O32" t="str">
        <f t="shared" si="1"/>
        <v/>
      </c>
    </row>
    <row r="33" spans="4:15" x14ac:dyDescent="0.35">
      <c r="D33">
        <f>$D$32+1</f>
        <v>16</v>
      </c>
      <c r="E33" t="s">
        <v>36</v>
      </c>
      <c r="F33" t="s">
        <v>83</v>
      </c>
      <c r="G33" t="s">
        <v>15</v>
      </c>
      <c r="H33" t="s">
        <v>19</v>
      </c>
      <c r="I33" t="s">
        <v>84</v>
      </c>
      <c r="J33" s="2" t="s">
        <v>95</v>
      </c>
      <c r="K33" t="str">
        <f>INDEX('[1]System Data'!$A:$A,MATCH(J33,'[1]System Data'!$B:$B,0))</f>
        <v>34</v>
      </c>
      <c r="L33" t="s">
        <v>4</v>
      </c>
      <c r="N33" t="str">
        <f t="shared" si="0"/>
        <v>No</v>
      </c>
      <c r="O33" t="str">
        <f t="shared" si="1"/>
        <v/>
      </c>
    </row>
    <row r="34" spans="4:15" x14ac:dyDescent="0.35">
      <c r="D34">
        <f>$D$33</f>
        <v>16</v>
      </c>
      <c r="E34" t="s">
        <v>36</v>
      </c>
      <c r="F34" t="s">
        <v>83</v>
      </c>
      <c r="G34" t="s">
        <v>18</v>
      </c>
      <c r="H34" t="s">
        <v>19</v>
      </c>
      <c r="I34" t="s">
        <v>46</v>
      </c>
      <c r="J34" s="2" t="s">
        <v>96</v>
      </c>
      <c r="K34" t="str">
        <f>INDEX('[1]System Data'!$A:$A,MATCH(J34,'[1]System Data'!$B:$B,0))</f>
        <v>35</v>
      </c>
      <c r="L34" t="s">
        <v>4</v>
      </c>
      <c r="N34" t="str">
        <f t="shared" si="0"/>
        <v>No</v>
      </c>
      <c r="O34" t="str">
        <f t="shared" si="1"/>
        <v/>
      </c>
    </row>
    <row r="35" spans="4:15" x14ac:dyDescent="0.35">
      <c r="D35">
        <f>$D$33+1</f>
        <v>17</v>
      </c>
      <c r="E35" t="s">
        <v>36</v>
      </c>
      <c r="F35" t="s">
        <v>85</v>
      </c>
      <c r="G35" t="s">
        <v>15</v>
      </c>
      <c r="H35" t="s">
        <v>31</v>
      </c>
      <c r="I35" t="s">
        <v>84</v>
      </c>
      <c r="J35" s="2" t="s">
        <v>97</v>
      </c>
      <c r="K35" t="str">
        <f>INDEX('[1]System Data'!$A:$A,MATCH(J35,'[1]System Data'!$B:$B,0))</f>
        <v>21</v>
      </c>
      <c r="L35" t="s">
        <v>4</v>
      </c>
      <c r="N35" t="str">
        <f t="shared" si="0"/>
        <v>No</v>
      </c>
      <c r="O35" t="str">
        <f t="shared" si="1"/>
        <v/>
      </c>
    </row>
    <row r="36" spans="4:15" x14ac:dyDescent="0.35">
      <c r="D36">
        <f>$D$35</f>
        <v>17</v>
      </c>
      <c r="E36" t="s">
        <v>36</v>
      </c>
      <c r="F36" t="s">
        <v>85</v>
      </c>
      <c r="G36" t="s">
        <v>18</v>
      </c>
      <c r="H36" t="s">
        <v>31</v>
      </c>
      <c r="I36" t="s">
        <v>46</v>
      </c>
      <c r="J36" s="2" t="s">
        <v>98</v>
      </c>
      <c r="K36" t="str">
        <f>INDEX('[1]System Data'!$A:$A,MATCH(J36,'[1]System Data'!$B:$B,0))</f>
        <v>22</v>
      </c>
      <c r="L36" t="s">
        <v>4</v>
      </c>
      <c r="N36" t="str">
        <f t="shared" si="0"/>
        <v>No</v>
      </c>
      <c r="O36" t="str">
        <f t="shared" si="1"/>
        <v/>
      </c>
    </row>
    <row r="58" spans="10:10" x14ac:dyDescent="0.35">
      <c r="J58" s="2"/>
    </row>
    <row r="61" spans="10:10" x14ac:dyDescent="0.35">
      <c r="J61" s="2"/>
    </row>
    <row r="62" spans="10:10" x14ac:dyDescent="0.35">
      <c r="J62" s="2"/>
    </row>
    <row r="63" spans="10:10" x14ac:dyDescent="0.35">
      <c r="J63" s="2"/>
    </row>
    <row r="64" spans="10:10" x14ac:dyDescent="0.35">
      <c r="J64" s="2"/>
    </row>
    <row r="65" spans="10:10" x14ac:dyDescent="0.35">
      <c r="J65" s="2"/>
    </row>
    <row r="66" spans="10:10" x14ac:dyDescent="0.35">
      <c r="J66" s="2"/>
    </row>
    <row r="67" spans="10:10" x14ac:dyDescent="0.35">
      <c r="J67" s="2"/>
    </row>
    <row r="68" spans="10:10" x14ac:dyDescent="0.35">
      <c r="J68" s="2"/>
    </row>
    <row r="69" spans="10:10" x14ac:dyDescent="0.35">
      <c r="J69" s="2"/>
    </row>
    <row r="70" spans="10:10" x14ac:dyDescent="0.35">
      <c r="J70" s="2"/>
    </row>
    <row r="71" spans="10:10" x14ac:dyDescent="0.35">
      <c r="J71" s="2"/>
    </row>
  </sheetData>
  <autoFilter ref="D1:O66" xr:uid="{00000000-0001-0000-0000-000000000000}"/>
  <phoneticPr fontId="2" type="noConversion"/>
  <conditionalFormatting sqref="D34:F36 D2:F30 D32:F32">
    <cfRule type="expression" dxfId="1" priority="9">
      <formula>$D2=$D1</formula>
    </cfRule>
  </conditionalFormatting>
  <conditionalFormatting sqref="D33:F33 D31:F31">
    <cfRule type="expression" dxfId="0" priority="11">
      <formula>$D31=#REF!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Fien Spriet</dc:creator>
  <cp:lastModifiedBy>Fien Spriet</cp:lastModifiedBy>
  <dcterms:created xsi:type="dcterms:W3CDTF">2015-06-05T18:17:20Z</dcterms:created>
  <dcterms:modified xsi:type="dcterms:W3CDTF">2025-11-01T14:24:51Z</dcterms:modified>
</cp:coreProperties>
</file>