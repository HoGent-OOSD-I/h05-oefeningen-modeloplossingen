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0A9C0052-383A-43B0-889D-AEF91C92C864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Sheet1!$D$1:$O$67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N6" i="1"/>
  <c r="O6" i="1"/>
  <c r="K3" i="1"/>
  <c r="K4" i="1"/>
  <c r="K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D24" i="1"/>
  <c r="N24" i="1" s="1"/>
  <c r="D23" i="1"/>
  <c r="N23" i="1" s="1"/>
  <c r="O21" i="1"/>
  <c r="O22" i="1"/>
  <c r="O23" i="1"/>
  <c r="O24" i="1"/>
  <c r="O25" i="1"/>
  <c r="O26" i="1"/>
  <c r="O27" i="1"/>
  <c r="O28" i="1"/>
  <c r="O29" i="1"/>
  <c r="O30" i="1"/>
  <c r="N16" i="1"/>
  <c r="N17" i="1"/>
  <c r="N19" i="1"/>
  <c r="N20" i="1"/>
  <c r="N21" i="1"/>
  <c r="O16" i="1"/>
  <c r="O17" i="1"/>
  <c r="O18" i="1"/>
  <c r="O19" i="1"/>
  <c r="D19" i="1"/>
  <c r="D22" i="1"/>
  <c r="N22" i="1" s="1"/>
  <c r="D18" i="1"/>
  <c r="N18" i="1" s="1"/>
  <c r="D4" i="1"/>
  <c r="D5" i="1"/>
  <c r="D7" i="1"/>
  <c r="D8" i="1"/>
  <c r="D9" i="1"/>
  <c r="D10" i="1"/>
  <c r="D11" i="1"/>
  <c r="D12" i="1"/>
  <c r="D13" i="1"/>
  <c r="D14" i="1"/>
  <c r="D15" i="1"/>
  <c r="N15" i="1" s="1"/>
  <c r="D3" i="1"/>
  <c r="D25" i="1" l="1"/>
  <c r="O20" i="1"/>
  <c r="N25" i="1" l="1"/>
  <c r="D27" i="1"/>
  <c r="N27" i="1" s="1"/>
  <c r="D26" i="1"/>
  <c r="N26" i="1" s="1"/>
  <c r="D28" i="1"/>
  <c r="O3" i="1"/>
  <c r="O4" i="1"/>
  <c r="O5" i="1"/>
  <c r="O7" i="1"/>
  <c r="O8" i="1"/>
  <c r="O9" i="1"/>
  <c r="O10" i="1"/>
  <c r="O11" i="1"/>
  <c r="O12" i="1"/>
  <c r="O13" i="1"/>
  <c r="O14" i="1"/>
  <c r="O15" i="1"/>
  <c r="N3" i="1"/>
  <c r="N4" i="1"/>
  <c r="N5" i="1"/>
  <c r="N7" i="1"/>
  <c r="N8" i="1"/>
  <c r="N9" i="1"/>
  <c r="N10" i="1"/>
  <c r="N11" i="1"/>
  <c r="N12" i="1"/>
  <c r="N13" i="1"/>
  <c r="N14" i="1"/>
  <c r="N28" i="1" l="1"/>
  <c r="D29" i="1"/>
  <c r="O2" i="1"/>
  <c r="N2" i="1"/>
  <c r="N29" i="1" l="1"/>
  <c r="D30" i="1"/>
  <c r="N30" i="1" s="1"/>
</calcChain>
</file>

<file path=xl/sharedStrings.xml><?xml version="1.0" encoding="utf-8"?>
<sst xmlns="http://schemas.openxmlformats.org/spreadsheetml/2006/main" count="210" uniqueCount="71">
  <si>
    <t>wat?</t>
  </si>
  <si>
    <t>DomeinController</t>
  </si>
  <si>
    <t>AX</t>
  </si>
  <si>
    <t>No</t>
  </si>
  <si>
    <t>AH</t>
  </si>
  <si>
    <t>Yes</t>
  </si>
  <si>
    <t>Stappen</t>
  </si>
  <si>
    <t>Iteratie</t>
  </si>
  <si>
    <t>Toon tem stap:</t>
  </si>
  <si>
    <t>AX (delete)</t>
  </si>
  <si>
    <t>AH (getter)</t>
  </si>
  <si>
    <t>Default AX</t>
  </si>
  <si>
    <t>Default AH</t>
  </si>
  <si>
    <t>Klasse</t>
  </si>
  <si>
    <t>Methode</t>
  </si>
  <si>
    <t>Attribuut</t>
  </si>
  <si>
    <t>Associatie</t>
  </si>
  <si>
    <t>Parameter</t>
  </si>
  <si>
    <t>DC</t>
  </si>
  <si>
    <t>ID VP</t>
  </si>
  <si>
    <t>ID VP (nr)</t>
  </si>
  <si>
    <t>Blok 2</t>
  </si>
  <si>
    <t>param inzet</t>
  </si>
  <si>
    <t>Blackjack</t>
  </si>
  <si>
    <t>maakBlackjack</t>
  </si>
  <si>
    <t>ctor</t>
  </si>
  <si>
    <t>inzet</t>
  </si>
  <si>
    <t>Kaart</t>
  </si>
  <si>
    <t>ass dc -&gt; blackjack</t>
  </si>
  <si>
    <t>param waarde in ctor</t>
  </si>
  <si>
    <t>param kleur in ctor</t>
  </si>
  <si>
    <t>ass trekstapel</t>
  </si>
  <si>
    <t>ass speelbord</t>
  </si>
  <si>
    <t>geefSpeelbord</t>
  </si>
  <si>
    <t>getSpeelbord</t>
  </si>
  <si>
    <t>geefPunten</t>
  </si>
  <si>
    <t>getter waarde</t>
  </si>
  <si>
    <t>getter kleur</t>
  </si>
  <si>
    <t>geefBlackjackWaarde</t>
  </si>
  <si>
    <t>Blok 3</t>
  </si>
  <si>
    <t>neemKaart</t>
  </si>
  <si>
    <t>geefWinst</t>
  </si>
  <si>
    <t>isEindeBlackjack</t>
  </si>
  <si>
    <t>Stopvoorwaarde</t>
  </si>
  <si>
    <t>gr77_96GAqAAwiIH</t>
  </si>
  <si>
    <t>3vsn_96GAqAAwiNc</t>
  </si>
  <si>
    <t>RiCn_96GAqAAwiNe</t>
  </si>
  <si>
    <t>9hH7_96GAqAAwiIO</t>
  </si>
  <si>
    <t>843H_96GAqAAwiNF</t>
  </si>
  <si>
    <t>J3PH_96GAqAAwiNH</t>
  </si>
  <si>
    <t>C4VH_96GAqAAwiMr</t>
  </si>
  <si>
    <t>1En7_96GAqAAwiIV</t>
  </si>
  <si>
    <t>sGQH_96GAqAAwiIf</t>
  </si>
  <si>
    <t>hPQH_96GAqAAwiIk</t>
  </si>
  <si>
    <t>EnoH_96GAqAAwiIt</t>
  </si>
  <si>
    <t>fH4H_96GAqAAwiIv</t>
  </si>
  <si>
    <t>gn4H_96GAqAAwiIw</t>
  </si>
  <si>
    <t>wk6H_96GAqAAwiMB</t>
  </si>
  <si>
    <t>A6aH_96GAqAAwiL5</t>
  </si>
  <si>
    <t>ZiCn_96GAqAAwiNf</t>
  </si>
  <si>
    <t>53PH_96GAqAAwiNI</t>
  </si>
  <si>
    <t>uwSn_96GAqAAwiNk</t>
  </si>
  <si>
    <t>S5gn_96GAqAAwiNN</t>
  </si>
  <si>
    <t>In4H_96GAqAAwiIx</t>
  </si>
  <si>
    <t>gqyn_96GAqAAwiNm</t>
  </si>
  <si>
    <t>R0In_96GAqAAwiNP</t>
  </si>
  <si>
    <t>2EKn_96GAqAAwiNo</t>
  </si>
  <si>
    <t>hdon_96GAqAAwiNR</t>
  </si>
  <si>
    <t>HAuQAD6GAqAAwiN7</t>
  </si>
  <si>
    <t>UhxQAD6GAqAAwiON</t>
  </si>
  <si>
    <t>bVrH_96GAqAAwiM5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</si>
</sst>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blackjack_exportVP.xlsx" TargetMode="External"/><Relationship Id="rId1" Type="http://schemas.openxmlformats.org/officeDocument/2006/relationships/externalLinkPath" Target="blackjack_exportV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mein"/>
      <sheetName val="References"/>
      <sheetName val="Diagram Parent Model"/>
      <sheetName val="System Data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WARNING: Do NOT modify this sheet</v>
          </cell>
        </row>
        <row r="2">
          <cell r="A2" t="str">
            <v>20250813</v>
          </cell>
        </row>
        <row r="3">
          <cell r="A3" t="str">
            <v>76246e232489cc9c6f3256f7f1f0f08f</v>
          </cell>
          <cell r="B3" t="str">
            <v>3</v>
          </cell>
        </row>
        <row r="4">
          <cell r="A4" t="str">
            <v>1</v>
          </cell>
          <cell r="B4" t="str">
            <v>RVr7_96GAqAAwiH9</v>
          </cell>
        </row>
        <row r="5">
          <cell r="A5" t="str">
            <v>2</v>
          </cell>
          <cell r="B5" t="str">
            <v>mDD7_96GAqAAwiHx</v>
          </cell>
        </row>
        <row r="6">
          <cell r="A6" t="str">
            <v>3</v>
          </cell>
          <cell r="B6" t="str">
            <v>1En7_96GAqAAwiIV</v>
          </cell>
        </row>
        <row r="7">
          <cell r="A7" t="str">
            <v>4</v>
          </cell>
          <cell r="B7" t="str">
            <v>1En7_96GAqAAwiIW</v>
          </cell>
        </row>
        <row r="8">
          <cell r="A8" t="str">
            <v>5</v>
          </cell>
          <cell r="B8" t="str">
            <v>sGQH_96GAqAAwiIf</v>
          </cell>
        </row>
        <row r="9">
          <cell r="A9" t="str">
            <v>6</v>
          </cell>
          <cell r="B9" t="str">
            <v>hPQH_96GAqAAwiIk</v>
          </cell>
        </row>
        <row r="10">
          <cell r="A10" t="str">
            <v>7</v>
          </cell>
          <cell r="B10" t="str">
            <v>EnoH_96GAqAAwiIt</v>
          </cell>
        </row>
        <row r="11">
          <cell r="A11" t="str">
            <v>8</v>
          </cell>
          <cell r="B11" t="str">
            <v>fH4H_96GAqAAwiIv</v>
          </cell>
        </row>
        <row r="12">
          <cell r="A12" t="str">
            <v>9</v>
          </cell>
          <cell r="B12" t="str">
            <v>gn4H_96GAqAAwiIw</v>
          </cell>
        </row>
        <row r="13">
          <cell r="A13" t="str">
            <v>10</v>
          </cell>
          <cell r="B13" t="str">
            <v>In4H_96GAqAAwiIx</v>
          </cell>
        </row>
        <row r="14">
          <cell r="A14" t="str">
            <v>11</v>
          </cell>
          <cell r="B14" t="str">
            <v>9hH7_96GAqAAwiIO</v>
          </cell>
        </row>
        <row r="15">
          <cell r="A15" t="str">
            <v>12</v>
          </cell>
          <cell r="B15" t="str">
            <v>9hH7_96GAqAAwiIP</v>
          </cell>
        </row>
        <row r="16">
          <cell r="A16" t="str">
            <v>13</v>
          </cell>
          <cell r="B16" t="str">
            <v>bVrH_96GAqAAwiM5</v>
          </cell>
        </row>
        <row r="17">
          <cell r="A17" t="str">
            <v>14</v>
          </cell>
          <cell r="B17" t="str">
            <v>843H_96GAqAAwiNF</v>
          </cell>
        </row>
        <row r="18">
          <cell r="A18" t="str">
            <v>15</v>
          </cell>
          <cell r="B18" t="str">
            <v>J3PH_96GAqAAwiNH</v>
          </cell>
        </row>
        <row r="19">
          <cell r="A19" t="str">
            <v>16</v>
          </cell>
          <cell r="B19" t="str">
            <v>53PH_96GAqAAwiNI</v>
          </cell>
        </row>
        <row r="20">
          <cell r="A20" t="str">
            <v>17</v>
          </cell>
          <cell r="B20" t="str">
            <v>S5gn_96GAqAAwiNN</v>
          </cell>
        </row>
        <row r="21">
          <cell r="A21" t="str">
            <v>18</v>
          </cell>
          <cell r="B21" t="str">
            <v>R0In_96GAqAAwiNP</v>
          </cell>
        </row>
        <row r="22">
          <cell r="A22" t="str">
            <v>19</v>
          </cell>
          <cell r="B22" t="str">
            <v>hdon_96GAqAAwiNR</v>
          </cell>
        </row>
        <row r="23">
          <cell r="A23" t="str">
            <v>20</v>
          </cell>
          <cell r="B23" t="str">
            <v>UhxQAD6GAqAAwiON</v>
          </cell>
        </row>
        <row r="24">
          <cell r="A24" t="str">
            <v>21</v>
          </cell>
          <cell r="B24" t="str">
            <v>gr77_96GAqAAwiIH</v>
          </cell>
        </row>
        <row r="25">
          <cell r="A25" t="str">
            <v>22</v>
          </cell>
          <cell r="B25" t="str">
            <v>gr77_96GAqAAwiII</v>
          </cell>
        </row>
        <row r="26">
          <cell r="A26" t="str">
            <v>23</v>
          </cell>
          <cell r="B26" t="str">
            <v>3vsn_96GAqAAwiNc</v>
          </cell>
        </row>
        <row r="27">
          <cell r="A27" t="str">
            <v>24</v>
          </cell>
          <cell r="B27" t="str">
            <v>RiCn_96GAqAAwiNe</v>
          </cell>
        </row>
        <row r="28">
          <cell r="A28" t="str">
            <v>25</v>
          </cell>
          <cell r="B28" t="str">
            <v>ZiCn_96GAqAAwiNf</v>
          </cell>
        </row>
        <row r="29">
          <cell r="A29" t="str">
            <v>26</v>
          </cell>
          <cell r="B29" t="str">
            <v>uwSn_96GAqAAwiNk</v>
          </cell>
        </row>
        <row r="30">
          <cell r="A30" t="str">
            <v>27</v>
          </cell>
          <cell r="B30" t="str">
            <v>gqyn_96GAqAAwiNm</v>
          </cell>
        </row>
        <row r="31">
          <cell r="A31" t="str">
            <v>28</v>
          </cell>
          <cell r="B31" t="str">
            <v>2EKn_96GAqAAwiNo</v>
          </cell>
        </row>
        <row r="32">
          <cell r="A32" t="str">
            <v>29</v>
          </cell>
          <cell r="B32" t="str">
            <v>HAuQAD6GAqAAwiN7</v>
          </cell>
        </row>
        <row r="33">
          <cell r="A33" t="str">
            <v>30</v>
          </cell>
          <cell r="B33" t="str">
            <v>A6aH_96GAqAAwiL5</v>
          </cell>
        </row>
        <row r="34">
          <cell r="A34" t="str">
            <v>31</v>
          </cell>
          <cell r="B34" t="str">
            <v>raaH_96GAqAAwiL0</v>
          </cell>
        </row>
        <row r="35">
          <cell r="A35" t="str">
            <v>32</v>
          </cell>
          <cell r="B35" t="str">
            <v>6jxH_96GAqAAwiMc</v>
          </cell>
        </row>
        <row r="36">
          <cell r="A36" t="str">
            <v>33</v>
          </cell>
          <cell r="B36" t="str">
            <v>wk6H_96GAqAAwiMB</v>
          </cell>
        </row>
        <row r="37">
          <cell r="A37" t="str">
            <v>34</v>
          </cell>
          <cell r="B37" t="str">
            <v>nE6H_96GAqAAwiL8</v>
          </cell>
        </row>
        <row r="38">
          <cell r="A38" t="str">
            <v>35</v>
          </cell>
          <cell r="B38" t="str">
            <v>C4VH_96GAqAAwiMr</v>
          </cell>
        </row>
        <row r="39">
          <cell r="A39" t="str">
            <v>36</v>
          </cell>
          <cell r="B39" t="str">
            <v>Y4VH_96GAqAAwiMm</v>
          </cell>
        </row>
        <row r="40">
          <cell r="A40" t="str">
            <v>37</v>
          </cell>
          <cell r="B40" t="str">
            <v>VHN7_96GAqAAwiDd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workbookViewId="0">
      <selection activeCell="B2" sqref="B2"/>
    </sheetView>
  </sheetViews>
  <sheetFormatPr defaultRowHeight="14.5" x14ac:dyDescent="0.35"/>
  <cols>
    <col min="1" max="1" width="13.6328125" bestFit="1" customWidth="1"/>
    <col min="6" max="6" width="29" bestFit="1" customWidth="1"/>
    <col min="7" max="7" width="9.81640625" bestFit="1" customWidth="1"/>
    <col min="8" max="8" width="9.81640625" customWidth="1"/>
    <col min="9" max="9" width="37.6328125" bestFit="1" customWidth="1"/>
    <col min="10" max="10" width="37.6328125" customWidth="1"/>
    <col min="11" max="11" width="11.26953125" bestFit="1" customWidth="1"/>
    <col min="12" max="12" width="10.6328125" bestFit="1" customWidth="1"/>
    <col min="13" max="13" width="10.36328125" bestFit="1" customWidth="1"/>
  </cols>
  <sheetData>
    <row r="1" spans="1:15" x14ac:dyDescent="0.35">
      <c r="A1" s="1" t="s">
        <v>8</v>
      </c>
      <c r="B1" s="1">
        <v>3</v>
      </c>
      <c r="D1" t="s">
        <v>6</v>
      </c>
      <c r="E1" t="s">
        <v>7</v>
      </c>
      <c r="G1" t="s">
        <v>0</v>
      </c>
      <c r="H1" t="s">
        <v>13</v>
      </c>
      <c r="J1" t="s">
        <v>19</v>
      </c>
      <c r="K1" t="s">
        <v>20</v>
      </c>
      <c r="L1" t="s">
        <v>9</v>
      </c>
      <c r="M1" t="s">
        <v>10</v>
      </c>
      <c r="N1" t="s">
        <v>2</v>
      </c>
      <c r="O1" t="s">
        <v>4</v>
      </c>
    </row>
    <row r="2" spans="1:15" x14ac:dyDescent="0.35">
      <c r="D2">
        <v>1</v>
      </c>
      <c r="E2" t="s">
        <v>21</v>
      </c>
      <c r="F2" t="s">
        <v>24</v>
      </c>
      <c r="G2" t="s">
        <v>13</v>
      </c>
      <c r="H2" t="s">
        <v>18</v>
      </c>
      <c r="I2" t="s">
        <v>1</v>
      </c>
      <c r="J2" s="2" t="s">
        <v>44</v>
      </c>
      <c r="K2" t="str">
        <f>INDEX('[1]System Data'!$A:$A,MATCH(J2,'[1]System Data'!$B:$B,0))</f>
        <v>21</v>
      </c>
      <c r="L2" t="s">
        <v>3</v>
      </c>
      <c r="N2" t="str">
        <f t="shared" ref="N2:N30" si="0">IF(D2&lt;=$B$1, L2, $B$3)</f>
        <v>No</v>
      </c>
      <c r="O2" t="str">
        <f t="shared" ref="O2:O15" si="1">IF(ISBLANK(M2), "", IF(D2&lt;=$B$1, M2, $B$4))</f>
        <v/>
      </c>
    </row>
    <row r="3" spans="1:15" x14ac:dyDescent="0.35">
      <c r="A3" s="1" t="s">
        <v>11</v>
      </c>
      <c r="B3" s="1" t="s">
        <v>5</v>
      </c>
      <c r="D3">
        <f>$D$2</f>
        <v>1</v>
      </c>
      <c r="E3" t="s">
        <v>21</v>
      </c>
      <c r="F3" t="s">
        <v>24</v>
      </c>
      <c r="G3" t="s">
        <v>14</v>
      </c>
      <c r="H3" t="s">
        <v>18</v>
      </c>
      <c r="I3" t="s">
        <v>24</v>
      </c>
      <c r="J3" s="2" t="s">
        <v>45</v>
      </c>
      <c r="K3" t="str">
        <f>INDEX('[1]System Data'!$A:$A,MATCH(J3,'[1]System Data'!$B:$B,0))</f>
        <v>23</v>
      </c>
      <c r="L3" t="s">
        <v>3</v>
      </c>
      <c r="N3" t="str">
        <f t="shared" si="0"/>
        <v>No</v>
      </c>
      <c r="O3" t="str">
        <f t="shared" si="1"/>
        <v/>
      </c>
    </row>
    <row r="4" spans="1:15" x14ac:dyDescent="0.35">
      <c r="A4" s="1" t="s">
        <v>12</v>
      </c>
      <c r="B4" s="1" t="s">
        <v>3</v>
      </c>
      <c r="D4">
        <f t="shared" ref="D4:D24" si="2">$D$2</f>
        <v>1</v>
      </c>
      <c r="E4" t="s">
        <v>21</v>
      </c>
      <c r="F4" t="s">
        <v>24</v>
      </c>
      <c r="G4" t="s">
        <v>17</v>
      </c>
      <c r="H4" t="s">
        <v>18</v>
      </c>
      <c r="I4" t="s">
        <v>22</v>
      </c>
      <c r="J4" s="2" t="s">
        <v>46</v>
      </c>
      <c r="K4" t="str">
        <f>INDEX('[1]System Data'!$A:$A,MATCH(J4,'[1]System Data'!$B:$B,0))</f>
        <v>24</v>
      </c>
      <c r="L4" t="s">
        <v>3</v>
      </c>
      <c r="N4" t="str">
        <f t="shared" si="0"/>
        <v>No</v>
      </c>
      <c r="O4" t="str">
        <f t="shared" si="1"/>
        <v/>
      </c>
    </row>
    <row r="5" spans="1:15" x14ac:dyDescent="0.35">
      <c r="D5">
        <f t="shared" si="2"/>
        <v>1</v>
      </c>
      <c r="E5" t="s">
        <v>21</v>
      </c>
      <c r="F5" t="s">
        <v>24</v>
      </c>
      <c r="G5" t="s">
        <v>13</v>
      </c>
      <c r="H5" t="s">
        <v>23</v>
      </c>
      <c r="J5" s="2" t="s">
        <v>47</v>
      </c>
      <c r="K5" t="str">
        <f>INDEX('[1]System Data'!$A:$A,MATCH(J5,'[1]System Data'!$B:$B,0))</f>
        <v>11</v>
      </c>
      <c r="L5" t="s">
        <v>3</v>
      </c>
      <c r="N5" t="str">
        <f t="shared" si="0"/>
        <v>No</v>
      </c>
      <c r="O5" t="str">
        <f t="shared" si="1"/>
        <v/>
      </c>
    </row>
    <row r="6" spans="1:15" x14ac:dyDescent="0.35">
      <c r="G6" t="s">
        <v>15</v>
      </c>
      <c r="H6" t="s">
        <v>23</v>
      </c>
      <c r="I6" t="s">
        <v>26</v>
      </c>
      <c r="J6" s="2" t="s">
        <v>70</v>
      </c>
      <c r="K6" t="str">
        <f>INDEX('[1]System Data'!$A:$A,MATCH(J6,'[1]System Data'!$B:$B,0))</f>
        <v>13</v>
      </c>
      <c r="L6" t="s">
        <v>3</v>
      </c>
      <c r="N6" t="str">
        <f t="shared" ref="N6" si="3">IF(D6&lt;=$B$1, L6, $B$3)</f>
        <v>No</v>
      </c>
      <c r="O6" t="str">
        <f t="shared" ref="O6" si="4">IF(ISBLANK(M6), "", IF(D6&lt;=$B$1, M6, $B$4))</f>
        <v/>
      </c>
    </row>
    <row r="7" spans="1:15" x14ac:dyDescent="0.35">
      <c r="D7">
        <f t="shared" si="2"/>
        <v>1</v>
      </c>
      <c r="E7" t="s">
        <v>21</v>
      </c>
      <c r="F7" t="s">
        <v>24</v>
      </c>
      <c r="G7" t="s">
        <v>14</v>
      </c>
      <c r="H7" t="s">
        <v>23</v>
      </c>
      <c r="I7" t="s">
        <v>25</v>
      </c>
      <c r="J7" s="2" t="s">
        <v>48</v>
      </c>
      <c r="K7" t="str">
        <f>INDEX('[1]System Data'!$A:$A,MATCH(J7,'[1]System Data'!$B:$B,0))</f>
        <v>14</v>
      </c>
      <c r="L7" t="s">
        <v>3</v>
      </c>
      <c r="N7" t="str">
        <f t="shared" si="0"/>
        <v>No</v>
      </c>
      <c r="O7" t="str">
        <f t="shared" si="1"/>
        <v/>
      </c>
    </row>
    <row r="8" spans="1:15" x14ac:dyDescent="0.35">
      <c r="D8">
        <f t="shared" si="2"/>
        <v>1</v>
      </c>
      <c r="E8" t="s">
        <v>21</v>
      </c>
      <c r="F8" t="s">
        <v>24</v>
      </c>
      <c r="G8" t="s">
        <v>17</v>
      </c>
      <c r="H8" t="s">
        <v>23</v>
      </c>
      <c r="I8" t="s">
        <v>26</v>
      </c>
      <c r="J8" s="2" t="s">
        <v>49</v>
      </c>
      <c r="K8" t="str">
        <f>INDEX('[1]System Data'!$A:$A,MATCH(J8,'[1]System Data'!$B:$B,0))</f>
        <v>15</v>
      </c>
      <c r="L8" t="s">
        <v>3</v>
      </c>
      <c r="N8" t="str">
        <f t="shared" si="0"/>
        <v>No</v>
      </c>
      <c r="O8" t="str">
        <f t="shared" si="1"/>
        <v/>
      </c>
    </row>
    <row r="9" spans="1:15" x14ac:dyDescent="0.35">
      <c r="D9">
        <f t="shared" si="2"/>
        <v>1</v>
      </c>
      <c r="E9" t="s">
        <v>21</v>
      </c>
      <c r="F9" t="s">
        <v>24</v>
      </c>
      <c r="G9" t="s">
        <v>16</v>
      </c>
      <c r="H9" t="s">
        <v>16</v>
      </c>
      <c r="I9" t="s">
        <v>28</v>
      </c>
      <c r="J9" s="2" t="s">
        <v>50</v>
      </c>
      <c r="K9" t="str">
        <f>INDEX('[1]System Data'!$A:$A,MATCH(J9,'[1]System Data'!$B:$B,0))</f>
        <v>35</v>
      </c>
      <c r="L9" t="s">
        <v>3</v>
      </c>
      <c r="N9" t="str">
        <f t="shared" si="0"/>
        <v>No</v>
      </c>
      <c r="O9" t="str">
        <f t="shared" si="1"/>
        <v/>
      </c>
    </row>
    <row r="10" spans="1:15" x14ac:dyDescent="0.35">
      <c r="D10">
        <f t="shared" si="2"/>
        <v>1</v>
      </c>
      <c r="E10" t="s">
        <v>21</v>
      </c>
      <c r="F10" t="s">
        <v>24</v>
      </c>
      <c r="G10" t="s">
        <v>13</v>
      </c>
      <c r="H10" t="s">
        <v>27</v>
      </c>
      <c r="J10" s="2" t="s">
        <v>51</v>
      </c>
      <c r="K10" t="str">
        <f>INDEX('[1]System Data'!$A:$A,MATCH(J10,'[1]System Data'!$B:$B,0))</f>
        <v>3</v>
      </c>
      <c r="L10" t="s">
        <v>3</v>
      </c>
      <c r="N10" t="str">
        <f t="shared" si="0"/>
        <v>No</v>
      </c>
      <c r="O10" t="str">
        <f t="shared" si="1"/>
        <v/>
      </c>
    </row>
    <row r="11" spans="1:15" x14ac:dyDescent="0.35">
      <c r="D11">
        <f t="shared" si="2"/>
        <v>1</v>
      </c>
      <c r="E11" t="s">
        <v>21</v>
      </c>
      <c r="F11" t="s">
        <v>24</v>
      </c>
      <c r="G11" t="s">
        <v>15</v>
      </c>
      <c r="H11" t="s">
        <v>27</v>
      </c>
      <c r="I11" t="s">
        <v>36</v>
      </c>
      <c r="J11" s="2" t="s">
        <v>52</v>
      </c>
      <c r="K11" t="str">
        <f>INDEX('[1]System Data'!$A:$A,MATCH(J11,'[1]System Data'!$B:$B,0))</f>
        <v>5</v>
      </c>
      <c r="L11" t="s">
        <v>3</v>
      </c>
      <c r="M11" t="s">
        <v>3</v>
      </c>
      <c r="N11" t="str">
        <f t="shared" si="0"/>
        <v>No</v>
      </c>
      <c r="O11" t="str">
        <f t="shared" si="1"/>
        <v>No</v>
      </c>
    </row>
    <row r="12" spans="1:15" x14ac:dyDescent="0.35">
      <c r="D12">
        <f t="shared" si="2"/>
        <v>1</v>
      </c>
      <c r="E12" t="s">
        <v>21</v>
      </c>
      <c r="F12" t="s">
        <v>24</v>
      </c>
      <c r="G12" t="s">
        <v>15</v>
      </c>
      <c r="H12" t="s">
        <v>27</v>
      </c>
      <c r="I12" t="s">
        <v>37</v>
      </c>
      <c r="J12" s="2" t="s">
        <v>53</v>
      </c>
      <c r="K12" t="str">
        <f>INDEX('[1]System Data'!$A:$A,MATCH(J12,'[1]System Data'!$B:$B,0))</f>
        <v>6</v>
      </c>
      <c r="L12" t="s">
        <v>3</v>
      </c>
      <c r="M12" t="s">
        <v>3</v>
      </c>
      <c r="N12" t="str">
        <f t="shared" si="0"/>
        <v>No</v>
      </c>
      <c r="O12" t="str">
        <f t="shared" si="1"/>
        <v>No</v>
      </c>
    </row>
    <row r="13" spans="1:15" x14ac:dyDescent="0.35">
      <c r="D13">
        <f t="shared" si="2"/>
        <v>1</v>
      </c>
      <c r="E13" t="s">
        <v>21</v>
      </c>
      <c r="F13" t="s">
        <v>24</v>
      </c>
      <c r="G13" t="s">
        <v>14</v>
      </c>
      <c r="H13" t="s">
        <v>27</v>
      </c>
      <c r="I13" t="s">
        <v>25</v>
      </c>
      <c r="J13" s="2" t="s">
        <v>54</v>
      </c>
      <c r="K13" t="str">
        <f>INDEX('[1]System Data'!$A:$A,MATCH(J13,'[1]System Data'!$B:$B,0))</f>
        <v>7</v>
      </c>
      <c r="L13" t="s">
        <v>3</v>
      </c>
      <c r="N13" t="str">
        <f t="shared" si="0"/>
        <v>No</v>
      </c>
      <c r="O13" t="str">
        <f t="shared" si="1"/>
        <v/>
      </c>
    </row>
    <row r="14" spans="1:15" x14ac:dyDescent="0.35">
      <c r="D14">
        <f t="shared" si="2"/>
        <v>1</v>
      </c>
      <c r="E14" t="s">
        <v>21</v>
      </c>
      <c r="F14" t="s">
        <v>24</v>
      </c>
      <c r="G14" t="s">
        <v>17</v>
      </c>
      <c r="H14" t="s">
        <v>23</v>
      </c>
      <c r="I14" t="s">
        <v>29</v>
      </c>
      <c r="J14" s="2" t="s">
        <v>55</v>
      </c>
      <c r="K14" t="str">
        <f>INDEX('[1]System Data'!$A:$A,MATCH(J14,'[1]System Data'!$B:$B,0))</f>
        <v>8</v>
      </c>
      <c r="L14" t="s">
        <v>3</v>
      </c>
      <c r="N14" t="str">
        <f t="shared" si="0"/>
        <v>No</v>
      </c>
      <c r="O14" t="str">
        <f t="shared" si="1"/>
        <v/>
      </c>
    </row>
    <row r="15" spans="1:15" x14ac:dyDescent="0.35">
      <c r="D15">
        <f t="shared" si="2"/>
        <v>1</v>
      </c>
      <c r="E15" t="s">
        <v>21</v>
      </c>
      <c r="F15" t="s">
        <v>24</v>
      </c>
      <c r="G15" t="s">
        <v>17</v>
      </c>
      <c r="H15" t="s">
        <v>23</v>
      </c>
      <c r="I15" t="s">
        <v>30</v>
      </c>
      <c r="J15" s="2" t="s">
        <v>56</v>
      </c>
      <c r="K15" t="str">
        <f>INDEX('[1]System Data'!$A:$A,MATCH(J15,'[1]System Data'!$B:$B,0))</f>
        <v>9</v>
      </c>
      <c r="L15" t="s">
        <v>3</v>
      </c>
      <c r="N15" t="str">
        <f t="shared" si="0"/>
        <v>No</v>
      </c>
      <c r="O15" t="str">
        <f t="shared" si="1"/>
        <v/>
      </c>
    </row>
    <row r="16" spans="1:15" x14ac:dyDescent="0.35">
      <c r="G16" t="s">
        <v>16</v>
      </c>
      <c r="H16" t="s">
        <v>16</v>
      </c>
      <c r="I16" t="s">
        <v>31</v>
      </c>
      <c r="J16" s="2" t="s">
        <v>57</v>
      </c>
      <c r="K16" t="str">
        <f>INDEX('[1]System Data'!$A:$A,MATCH(J16,'[1]System Data'!$B:$B,0))</f>
        <v>33</v>
      </c>
      <c r="L16" t="s">
        <v>3</v>
      </c>
      <c r="N16" t="str">
        <f t="shared" si="0"/>
        <v>No</v>
      </c>
      <c r="O16" t="str">
        <f>IF(ISBLANK(M16), "", IF(D18&lt;=$B$1, M16, $B$4))</f>
        <v/>
      </c>
    </row>
    <row r="17" spans="4:15" x14ac:dyDescent="0.35">
      <c r="G17" t="s">
        <v>16</v>
      </c>
      <c r="H17" t="s">
        <v>16</v>
      </c>
      <c r="I17" t="s">
        <v>32</v>
      </c>
      <c r="J17" s="2" t="s">
        <v>58</v>
      </c>
      <c r="K17" t="str">
        <f>INDEX('[1]System Data'!$A:$A,MATCH(J17,'[1]System Data'!$B:$B,0))</f>
        <v>30</v>
      </c>
      <c r="L17" t="s">
        <v>3</v>
      </c>
      <c r="N17" t="str">
        <f t="shared" si="0"/>
        <v>No</v>
      </c>
      <c r="O17" t="str">
        <f>IF(ISBLANK(M17), "", IF(D19&lt;=$B$1, M17, $B$4))</f>
        <v/>
      </c>
    </row>
    <row r="18" spans="4:15" x14ac:dyDescent="0.35">
      <c r="D18">
        <f t="shared" si="2"/>
        <v>1</v>
      </c>
      <c r="E18" t="s">
        <v>21</v>
      </c>
      <c r="F18" t="s">
        <v>33</v>
      </c>
      <c r="G18" t="s">
        <v>14</v>
      </c>
      <c r="H18" t="s">
        <v>18</v>
      </c>
      <c r="I18" t="s">
        <v>33</v>
      </c>
      <c r="J18" s="2" t="s">
        <v>59</v>
      </c>
      <c r="K18" t="str">
        <f>INDEX('[1]System Data'!$A:$A,MATCH(J18,'[1]System Data'!$B:$B,0))</f>
        <v>25</v>
      </c>
      <c r="L18" t="s">
        <v>3</v>
      </c>
      <c r="N18" t="str">
        <f t="shared" si="0"/>
        <v>No</v>
      </c>
      <c r="O18" t="str">
        <f>IF(ISBLANK(M18), "", IF(D20&lt;=$B$1, M18, $B$4))</f>
        <v/>
      </c>
    </row>
    <row r="19" spans="4:15" x14ac:dyDescent="0.35">
      <c r="D19">
        <f t="shared" si="2"/>
        <v>1</v>
      </c>
      <c r="E19" t="s">
        <v>21</v>
      </c>
      <c r="F19" t="s">
        <v>33</v>
      </c>
      <c r="G19" t="s">
        <v>14</v>
      </c>
      <c r="H19" t="s">
        <v>23</v>
      </c>
      <c r="I19" t="s">
        <v>34</v>
      </c>
      <c r="J19" s="2" t="s">
        <v>60</v>
      </c>
      <c r="K19" t="str">
        <f>INDEX('[1]System Data'!$A:$A,MATCH(J19,'[1]System Data'!$B:$B,0))</f>
        <v>16</v>
      </c>
      <c r="L19" t="s">
        <v>3</v>
      </c>
      <c r="N19" t="str">
        <f t="shared" si="0"/>
        <v>No</v>
      </c>
      <c r="O19" t="str">
        <f>IF(ISBLANK(M19), "", IF(D21&lt;=$B$1, M19, $B$4))</f>
        <v/>
      </c>
    </row>
    <row r="20" spans="4:15" x14ac:dyDescent="0.35">
      <c r="G20" t="s">
        <v>15</v>
      </c>
      <c r="H20" t="s">
        <v>27</v>
      </c>
      <c r="I20" t="s">
        <v>36</v>
      </c>
      <c r="J20" s="2" t="s">
        <v>52</v>
      </c>
      <c r="K20" t="str">
        <f>INDEX('[1]System Data'!$A:$A,MATCH(J20,'[1]System Data'!$B:$B,0))</f>
        <v>5</v>
      </c>
      <c r="L20" t="s">
        <v>3</v>
      </c>
      <c r="M20" t="s">
        <v>5</v>
      </c>
      <c r="N20" t="str">
        <f t="shared" si="0"/>
        <v>No</v>
      </c>
      <c r="O20" t="str">
        <f>IF(ISBLANK(M20), "", IF(D22&lt;=$B$1, M20, $B$4))</f>
        <v>Yes</v>
      </c>
    </row>
    <row r="21" spans="4:15" x14ac:dyDescent="0.35">
      <c r="G21" t="s">
        <v>15</v>
      </c>
      <c r="H21" t="s">
        <v>27</v>
      </c>
      <c r="I21" t="s">
        <v>37</v>
      </c>
      <c r="J21" s="2" t="s">
        <v>53</v>
      </c>
      <c r="K21" t="str">
        <f>INDEX('[1]System Data'!$A:$A,MATCH(J21,'[1]System Data'!$B:$B,0))</f>
        <v>6</v>
      </c>
      <c r="L21" t="s">
        <v>3</v>
      </c>
      <c r="M21" t="s">
        <v>5</v>
      </c>
      <c r="N21" t="str">
        <f t="shared" si="0"/>
        <v>No</v>
      </c>
      <c r="O21" t="str">
        <f t="shared" ref="O21:O30" si="5">IF(ISBLANK(M21), "", IF(D23&lt;=$B$1, M21, $B$4))</f>
        <v>Yes</v>
      </c>
    </row>
    <row r="22" spans="4:15" x14ac:dyDescent="0.35">
      <c r="D22">
        <f t="shared" si="2"/>
        <v>1</v>
      </c>
      <c r="E22" t="s">
        <v>21</v>
      </c>
      <c r="F22" t="s">
        <v>35</v>
      </c>
      <c r="G22" t="s">
        <v>14</v>
      </c>
      <c r="H22" t="s">
        <v>18</v>
      </c>
      <c r="I22" t="s">
        <v>35</v>
      </c>
      <c r="J22" s="2" t="s">
        <v>61</v>
      </c>
      <c r="K22" t="str">
        <f>INDEX('[1]System Data'!$A:$A,MATCH(J22,'[1]System Data'!$B:$B,0))</f>
        <v>26</v>
      </c>
      <c r="L22" t="s">
        <v>3</v>
      </c>
      <c r="N22" t="str">
        <f t="shared" si="0"/>
        <v>No</v>
      </c>
      <c r="O22" t="str">
        <f t="shared" si="5"/>
        <v/>
      </c>
    </row>
    <row r="23" spans="4:15" x14ac:dyDescent="0.35">
      <c r="D23">
        <f t="shared" si="2"/>
        <v>1</v>
      </c>
      <c r="E23" t="s">
        <v>21</v>
      </c>
      <c r="F23" t="s">
        <v>35</v>
      </c>
      <c r="G23" t="s">
        <v>14</v>
      </c>
      <c r="H23" t="s">
        <v>23</v>
      </c>
      <c r="I23" t="s">
        <v>35</v>
      </c>
      <c r="J23" s="2" t="s">
        <v>62</v>
      </c>
      <c r="K23" t="str">
        <f>INDEX('[1]System Data'!$A:$A,MATCH(J23,'[1]System Data'!$B:$B,0))</f>
        <v>17</v>
      </c>
      <c r="L23" t="s">
        <v>3</v>
      </c>
      <c r="N23" t="str">
        <f t="shared" si="0"/>
        <v>No</v>
      </c>
      <c r="O23" t="str">
        <f t="shared" si="5"/>
        <v/>
      </c>
    </row>
    <row r="24" spans="4:15" x14ac:dyDescent="0.35">
      <c r="D24">
        <f t="shared" si="2"/>
        <v>1</v>
      </c>
      <c r="E24" t="s">
        <v>21</v>
      </c>
      <c r="F24" t="s">
        <v>35</v>
      </c>
      <c r="G24" t="s">
        <v>14</v>
      </c>
      <c r="H24" t="s">
        <v>27</v>
      </c>
      <c r="I24" t="s">
        <v>38</v>
      </c>
      <c r="J24" s="2" t="s">
        <v>63</v>
      </c>
      <c r="K24" t="str">
        <f>INDEX('[1]System Data'!$A:$A,MATCH(J24,'[1]System Data'!$B:$B,0))</f>
        <v>10</v>
      </c>
      <c r="L24" t="s">
        <v>3</v>
      </c>
      <c r="N24" t="str">
        <f t="shared" si="0"/>
        <v>No</v>
      </c>
      <c r="O24" t="str">
        <f t="shared" si="5"/>
        <v/>
      </c>
    </row>
    <row r="25" spans="4:15" x14ac:dyDescent="0.35">
      <c r="D25">
        <f>D24+1</f>
        <v>2</v>
      </c>
      <c r="E25" t="s">
        <v>39</v>
      </c>
      <c r="F25" t="s">
        <v>40</v>
      </c>
      <c r="G25" t="s">
        <v>14</v>
      </c>
      <c r="H25" t="s">
        <v>18</v>
      </c>
      <c r="I25" t="s">
        <v>40</v>
      </c>
      <c r="J25" s="2" t="s">
        <v>64</v>
      </c>
      <c r="K25" t="str">
        <f>INDEX('[1]System Data'!$A:$A,MATCH(J25,'[1]System Data'!$B:$B,0))</f>
        <v>27</v>
      </c>
      <c r="L25" t="s">
        <v>3</v>
      </c>
      <c r="N25" t="str">
        <f t="shared" si="0"/>
        <v>No</v>
      </c>
      <c r="O25" t="str">
        <f t="shared" si="5"/>
        <v/>
      </c>
    </row>
    <row r="26" spans="4:15" x14ac:dyDescent="0.35">
      <c r="D26">
        <f>$D$25</f>
        <v>2</v>
      </c>
      <c r="E26" t="s">
        <v>39</v>
      </c>
      <c r="F26" t="s">
        <v>40</v>
      </c>
      <c r="G26" t="s">
        <v>14</v>
      </c>
      <c r="H26" t="s">
        <v>23</v>
      </c>
      <c r="I26" t="s">
        <v>40</v>
      </c>
      <c r="J26" s="2" t="s">
        <v>65</v>
      </c>
      <c r="K26" t="str">
        <f>INDEX('[1]System Data'!$A:$A,MATCH(J26,'[1]System Data'!$B:$B,0))</f>
        <v>18</v>
      </c>
      <c r="L26" t="s">
        <v>3</v>
      </c>
      <c r="N26" t="str">
        <f t="shared" si="0"/>
        <v>No</v>
      </c>
      <c r="O26" t="str">
        <f t="shared" si="5"/>
        <v/>
      </c>
    </row>
    <row r="27" spans="4:15" x14ac:dyDescent="0.35">
      <c r="D27">
        <f>$D$25</f>
        <v>2</v>
      </c>
      <c r="E27" t="s">
        <v>39</v>
      </c>
      <c r="F27" t="s">
        <v>41</v>
      </c>
      <c r="G27" t="s">
        <v>14</v>
      </c>
      <c r="H27" t="s">
        <v>18</v>
      </c>
      <c r="I27" t="s">
        <v>41</v>
      </c>
      <c r="J27" s="2" t="s">
        <v>66</v>
      </c>
      <c r="K27" t="str">
        <f>INDEX('[1]System Data'!$A:$A,MATCH(J27,'[1]System Data'!$B:$B,0))</f>
        <v>28</v>
      </c>
      <c r="L27" t="s">
        <v>3</v>
      </c>
      <c r="N27" t="str">
        <f t="shared" si="0"/>
        <v>No</v>
      </c>
      <c r="O27" t="str">
        <f t="shared" si="5"/>
        <v/>
      </c>
    </row>
    <row r="28" spans="4:15" x14ac:dyDescent="0.35">
      <c r="D28">
        <f>$D$25</f>
        <v>2</v>
      </c>
      <c r="E28" t="s">
        <v>39</v>
      </c>
      <c r="F28" t="s">
        <v>41</v>
      </c>
      <c r="G28" t="s">
        <v>14</v>
      </c>
      <c r="H28" t="s">
        <v>23</v>
      </c>
      <c r="I28" t="s">
        <v>41</v>
      </c>
      <c r="J28" s="2" t="s">
        <v>67</v>
      </c>
      <c r="K28" t="str">
        <f>INDEX('[1]System Data'!$A:$A,MATCH(J28,'[1]System Data'!$B:$B,0))</f>
        <v>19</v>
      </c>
      <c r="L28" t="s">
        <v>3</v>
      </c>
      <c r="N28" t="str">
        <f t="shared" si="0"/>
        <v>No</v>
      </c>
      <c r="O28" t="str">
        <f t="shared" si="5"/>
        <v/>
      </c>
    </row>
    <row r="29" spans="4:15" x14ac:dyDescent="0.35">
      <c r="D29">
        <f>D28+1</f>
        <v>3</v>
      </c>
      <c r="E29" t="s">
        <v>43</v>
      </c>
      <c r="F29" t="s">
        <v>42</v>
      </c>
      <c r="G29" t="s">
        <v>14</v>
      </c>
      <c r="H29" t="s">
        <v>18</v>
      </c>
      <c r="I29" t="s">
        <v>42</v>
      </c>
      <c r="J29" s="2" t="s">
        <v>68</v>
      </c>
      <c r="K29" t="str">
        <f>INDEX('[1]System Data'!$A:$A,MATCH(J29,'[1]System Data'!$B:$B,0))</f>
        <v>29</v>
      </c>
      <c r="L29" t="s">
        <v>3</v>
      </c>
      <c r="N29" t="str">
        <f t="shared" si="0"/>
        <v>No</v>
      </c>
      <c r="O29" t="str">
        <f t="shared" si="5"/>
        <v/>
      </c>
    </row>
    <row r="30" spans="4:15" x14ac:dyDescent="0.35">
      <c r="D30">
        <f>$D$29</f>
        <v>3</v>
      </c>
      <c r="E30" t="s">
        <v>43</v>
      </c>
      <c r="F30" t="s">
        <v>42</v>
      </c>
      <c r="G30" t="s">
        <v>14</v>
      </c>
      <c r="H30" t="s">
        <v>18</v>
      </c>
      <c r="I30" t="s">
        <v>42</v>
      </c>
      <c r="J30" s="2" t="s">
        <v>69</v>
      </c>
      <c r="K30" t="str">
        <f>INDEX('[1]System Data'!$A:$A,MATCH(J30,'[1]System Data'!$B:$B,0))</f>
        <v>20</v>
      </c>
      <c r="L30" t="s">
        <v>3</v>
      </c>
      <c r="N30" t="str">
        <f t="shared" si="0"/>
        <v>No</v>
      </c>
      <c r="O30" t="str">
        <f t="shared" si="5"/>
        <v/>
      </c>
    </row>
    <row r="31" spans="4:15" x14ac:dyDescent="0.35">
      <c r="J31" s="2"/>
    </row>
    <row r="32" spans="4:15" x14ac:dyDescent="0.35">
      <c r="J32" s="2"/>
    </row>
    <row r="33" spans="10:10" x14ac:dyDescent="0.35">
      <c r="J33" s="2"/>
    </row>
    <row r="34" spans="10:10" x14ac:dyDescent="0.35">
      <c r="J34" s="2"/>
    </row>
    <row r="35" spans="10:10" x14ac:dyDescent="0.35">
      <c r="J35" s="2"/>
    </row>
    <row r="36" spans="10:10" x14ac:dyDescent="0.35">
      <c r="J36" s="2"/>
    </row>
    <row r="37" spans="10:10" x14ac:dyDescent="0.35">
      <c r="J37" s="2"/>
    </row>
    <row r="59" spans="10:10" x14ac:dyDescent="0.35">
      <c r="J59" s="2"/>
    </row>
    <row r="62" spans="10:10" x14ac:dyDescent="0.35">
      <c r="J62" s="2"/>
    </row>
    <row r="63" spans="10:10" x14ac:dyDescent="0.35">
      <c r="J63" s="2"/>
    </row>
    <row r="64" spans="10:10" x14ac:dyDescent="0.35">
      <c r="J64" s="2"/>
    </row>
    <row r="65" spans="10:10" x14ac:dyDescent="0.35">
      <c r="J65" s="2"/>
    </row>
    <row r="66" spans="10:10" x14ac:dyDescent="0.35">
      <c r="J66" s="2"/>
    </row>
    <row r="67" spans="10:10" x14ac:dyDescent="0.35">
      <c r="J67" s="2"/>
    </row>
    <row r="68" spans="10:10" x14ac:dyDescent="0.35">
      <c r="J68" s="2"/>
    </row>
    <row r="69" spans="10:10" x14ac:dyDescent="0.35">
      <c r="J69" s="2"/>
    </row>
    <row r="70" spans="10:10" x14ac:dyDescent="0.35">
      <c r="J70" s="2"/>
    </row>
    <row r="71" spans="10:10" x14ac:dyDescent="0.35">
      <c r="J71" s="2"/>
    </row>
    <row r="72" spans="10:10" x14ac:dyDescent="0.35">
      <c r="J72" s="2"/>
    </row>
  </sheetData>
  <autoFilter ref="D1:O67" xr:uid="{00000000-0001-0000-0000-000000000000}"/>
  <phoneticPr fontId="2" type="noConversion"/>
  <conditionalFormatting sqref="D2:F6 D8:F37">
    <cfRule type="expression" dxfId="1" priority="9">
      <formula>$F2=$F1</formula>
    </cfRule>
  </conditionalFormatting>
  <conditionalFormatting sqref="D7:F7">
    <cfRule type="expression" dxfId="0" priority="11">
      <formula>$F7=$F5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Fien Spriet</dc:creator>
  <cp:lastModifiedBy>Fien Spriet</cp:lastModifiedBy>
  <dcterms:created xsi:type="dcterms:W3CDTF">2015-06-05T18:17:20Z</dcterms:created>
  <dcterms:modified xsi:type="dcterms:W3CDTF">2025-11-02T11:10:43Z</dcterms:modified>
</cp:coreProperties>
</file>