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pr805\Documents\Git projecten\OOSD I\H05\H05_oefOpl\"/>
    </mc:Choice>
  </mc:AlternateContent>
  <xr:revisionPtr revIDLastSave="0" documentId="13_ncr:1_{21D97879-1EB0-4FF8-A787-6633CE6F4B83}" xr6:coauthVersionLast="47" xr6:coauthVersionMax="47" xr10:uidLastSave="{00000000-0000-0000-0000-000000000000}"/>
  <bookViews>
    <workbookView xWindow="1140" yWindow="1140" windowWidth="14400" windowHeight="7280" xr2:uid="{00000000-000D-0000-FFFF-FFFF00000000}"/>
  </bookViews>
  <sheets>
    <sheet name="domein" sheetId="1" r:id="rId1"/>
    <sheet name="References" sheetId="2" r:id="rId2"/>
    <sheet name="Diagram Parent Model" sheetId="3" r:id="rId3"/>
    <sheet name="System Data" sheetId="4" r:id="rId4"/>
  </sheets>
  <externalReferences>
    <externalReference r:id="rId5"/>
  </externalReferences>
  <definedNames>
    <definedName name="_xlnm._FilterDatabase" localSheetId="0" hidden="1">domein!$A$1:$AW$55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1" l="1"/>
  <c r="Y9" i="1"/>
  <c r="Y10" i="1"/>
  <c r="Y11" i="1"/>
  <c r="Y12" i="1"/>
  <c r="Y13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3" i="1"/>
  <c r="AY10" i="1" l="1"/>
  <c r="AX10" i="1" s="1"/>
  <c r="AY43" i="1"/>
  <c r="AX43" i="1" s="1"/>
  <c r="AY12" i="1"/>
  <c r="AX12" i="1" s="1"/>
  <c r="AZ45" i="1"/>
  <c r="AY40" i="1"/>
  <c r="AX40" i="1" s="1"/>
  <c r="AZ17" i="1"/>
  <c r="AY6" i="1"/>
  <c r="AX6" i="1" s="1"/>
  <c r="AY17" i="1"/>
  <c r="AX17" i="1" s="1"/>
  <c r="AZ18" i="1"/>
  <c r="AY38" i="1"/>
  <c r="AX38" i="1" s="1"/>
  <c r="AY28" i="1"/>
  <c r="AX28" i="1" s="1"/>
  <c r="AZ43" i="1"/>
  <c r="AZ23" i="1"/>
  <c r="AY51" i="1"/>
  <c r="AX51" i="1" s="1"/>
  <c r="AY32" i="1"/>
  <c r="AX32" i="1" s="1"/>
  <c r="AY52" i="1"/>
  <c r="AX52" i="1" s="1"/>
  <c r="AY19" i="1"/>
  <c r="AX19" i="1" s="1"/>
  <c r="AY27" i="1"/>
  <c r="AX27" i="1" s="1"/>
  <c r="AZ54" i="1"/>
  <c r="AY47" i="1"/>
  <c r="AX47" i="1" s="1"/>
  <c r="AZ25" i="1"/>
  <c r="AY29" i="1"/>
  <c r="AX29" i="1" s="1"/>
  <c r="AY39" i="1"/>
  <c r="AX39" i="1" s="1"/>
  <c r="AZ47" i="1"/>
  <c r="AY44" i="1"/>
  <c r="AX44" i="1" s="1"/>
  <c r="AZ30" i="1"/>
  <c r="AZ36" i="1"/>
  <c r="AY46" i="1"/>
  <c r="AX46" i="1" s="1"/>
  <c r="AY4" i="1"/>
  <c r="AX4" i="1" s="1"/>
  <c r="AZ55" i="1"/>
  <c r="AZ33" i="1"/>
  <c r="AZ19" i="1"/>
  <c r="AY18" i="1"/>
  <c r="AX18" i="1" s="1"/>
  <c r="AZ37" i="1"/>
  <c r="AZ6" i="1"/>
  <c r="Y6" i="1" s="1"/>
  <c r="AZ48" i="1"/>
  <c r="AY35" i="1"/>
  <c r="AX35" i="1" s="1"/>
  <c r="AY30" i="1"/>
  <c r="AX30" i="1" s="1"/>
  <c r="AZ42" i="1"/>
  <c r="AZ22" i="1"/>
  <c r="AZ14" i="1"/>
  <c r="Y14" i="1" s="1"/>
  <c r="AZ24" i="1"/>
  <c r="AZ51" i="1"/>
  <c r="AY23" i="1"/>
  <c r="AX23" i="1" s="1"/>
  <c r="AZ4" i="1"/>
  <c r="Y4" i="1" s="1"/>
  <c r="AY3" i="1"/>
  <c r="AX3" i="1" s="1"/>
  <c r="AY41" i="1"/>
  <c r="AX41" i="1" s="1"/>
  <c r="AZ52" i="1"/>
  <c r="AZ31" i="1"/>
  <c r="AY7" i="1"/>
  <c r="AX7" i="1" s="1"/>
  <c r="AZ10" i="1"/>
  <c r="AY55" i="1"/>
  <c r="AX55" i="1" s="1"/>
  <c r="AY42" i="1"/>
  <c r="AX42" i="1" s="1"/>
  <c r="AZ46" i="1"/>
  <c r="AZ53" i="1"/>
  <c r="AZ26" i="1"/>
  <c r="AY49" i="1"/>
  <c r="AX49" i="1" s="1"/>
  <c r="AZ28" i="1"/>
  <c r="AY45" i="1"/>
  <c r="AX45" i="1" s="1"/>
  <c r="AY15" i="1"/>
  <c r="AX15" i="1" s="1"/>
  <c r="AY37" i="1"/>
  <c r="AX37" i="1" s="1"/>
  <c r="AZ34" i="1"/>
  <c r="AY14" i="1"/>
  <c r="AX14" i="1" s="1"/>
  <c r="AZ8" i="1"/>
  <c r="AY13" i="1"/>
  <c r="AX13" i="1" s="1"/>
  <c r="AZ40" i="1"/>
  <c r="AZ3" i="1"/>
  <c r="AY20" i="1"/>
  <c r="AX20" i="1" s="1"/>
  <c r="AY5" i="1"/>
  <c r="AX5" i="1" s="1"/>
  <c r="AY22" i="1"/>
  <c r="AX22" i="1" s="1"/>
  <c r="AZ41" i="1"/>
  <c r="AZ21" i="1"/>
  <c r="AZ44" i="1"/>
  <c r="AY34" i="1"/>
  <c r="AX34" i="1" s="1"/>
  <c r="AZ20" i="1"/>
  <c r="AZ9" i="1"/>
  <c r="AZ7" i="1"/>
  <c r="Y7" i="1" s="1"/>
  <c r="AY48" i="1"/>
  <c r="AX48" i="1" s="1"/>
  <c r="AY16" i="1"/>
  <c r="AX16" i="1" s="1"/>
  <c r="AZ49" i="1"/>
  <c r="AY50" i="1"/>
  <c r="AX50" i="1" s="1"/>
  <c r="AY54" i="1"/>
  <c r="AX54" i="1" s="1"/>
  <c r="AY24" i="1"/>
  <c r="AX24" i="1" s="1"/>
  <c r="AZ11" i="1"/>
  <c r="AZ13" i="1"/>
  <c r="AZ29" i="1"/>
  <c r="AY8" i="1"/>
  <c r="AX8" i="1" s="1"/>
  <c r="AY25" i="1"/>
  <c r="AX25" i="1" s="1"/>
  <c r="AZ35" i="1"/>
  <c r="AZ39" i="1"/>
  <c r="AY9" i="1"/>
  <c r="AX9" i="1" s="1"/>
  <c r="AY33" i="1"/>
  <c r="AX33" i="1" s="1"/>
  <c r="AZ50" i="1"/>
  <c r="AY26" i="1"/>
  <c r="AX26" i="1" s="1"/>
  <c r="AY11" i="1"/>
  <c r="AX11" i="1" s="1"/>
  <c r="AZ16" i="1"/>
  <c r="AZ15" i="1"/>
  <c r="AY53" i="1"/>
  <c r="AX53" i="1" s="1"/>
  <c r="AZ12" i="1"/>
  <c r="AY36" i="1"/>
  <c r="AX36" i="1" s="1"/>
  <c r="AZ32" i="1"/>
  <c r="AZ27" i="1"/>
  <c r="AY31" i="1"/>
  <c r="AX31" i="1" s="1"/>
  <c r="AZ38" i="1"/>
  <c r="AY21" i="1"/>
  <c r="AX21" i="1" s="1"/>
  <c r="AZ5" i="1"/>
  <c r="Y5" i="1" s="1"/>
</calcChain>
</file>

<file path=xl/sharedStrings.xml><?xml version="1.0" encoding="utf-8"?>
<sst xmlns="http://schemas.openxmlformats.org/spreadsheetml/2006/main" count="1076" uniqueCount="258">
  <si>
    <t/>
  </si>
  <si>
    <t>ID</t>
  </si>
  <si>
    <t>Name</t>
  </si>
  <si>
    <t>Type</t>
  </si>
  <si>
    <t>Description</t>
  </si>
  <si>
    <t>Parent Model</t>
  </si>
  <si>
    <t>Model ID</t>
  </si>
  <si>
    <t>Stereotypes</t>
  </si>
  <si>
    <t>Visibility</t>
  </si>
  <si>
    <t>Abstract</t>
  </si>
  <si>
    <t>Leaf</t>
  </si>
  <si>
    <t>Root</t>
  </si>
  <si>
    <t>Active</t>
  </si>
  <si>
    <t>Business model</t>
  </si>
  <si>
    <t>Transit From</t>
  </si>
  <si>
    <t>Transit To</t>
  </si>
  <si>
    <t>Initial value</t>
  </si>
  <si>
    <t>Multiplicity</t>
  </si>
  <si>
    <t>Type Modifier</t>
  </si>
  <si>
    <t>Scope</t>
  </si>
  <si>
    <t>Aggregation</t>
  </si>
  <si>
    <t>Derived</t>
  </si>
  <si>
    <t>Visible</t>
  </si>
  <si>
    <t>Setter</t>
  </si>
  <si>
    <t>Getter</t>
  </si>
  <si>
    <t>Unique</t>
  </si>
  <si>
    <t>Return type</t>
  </si>
  <si>
    <t>Lower</t>
  </si>
  <si>
    <t>Upper</t>
  </si>
  <si>
    <t>Body condition</t>
  </si>
  <si>
    <t>Query</t>
  </si>
  <si>
    <t>Ordered</t>
  </si>
  <si>
    <t>Direction</t>
  </si>
  <si>
    <t>Default Value</t>
  </si>
  <si>
    <t>From</t>
  </si>
  <si>
    <t>From Role</t>
  </si>
  <si>
    <t>From Multiplicity</t>
  </si>
  <si>
    <t>From Navigable</t>
  </si>
  <si>
    <t>From Aggregation Kind</t>
  </si>
  <si>
    <t>To</t>
  </si>
  <si>
    <t>To Role</t>
  </si>
  <si>
    <t>To Multiplicity</t>
  </si>
  <si>
    <t>To Navigable</t>
  </si>
  <si>
    <t>To Aggregation Kind</t>
  </si>
  <si>
    <t>ORM Collection Type</t>
  </si>
  <si>
    <t>Diagram ID</t>
  </si>
  <si>
    <t>Diagram Name</t>
  </si>
  <si>
    <t>Parent ID</t>
  </si>
  <si>
    <t>Parent Name</t>
  </si>
  <si>
    <t>Delete ?</t>
  </si>
  <si>
    <t>Diagram</t>
  </si>
  <si>
    <t>1</t>
  </si>
  <si>
    <t>domein</t>
  </si>
  <si>
    <t>ClassDiagram</t>
  </si>
  <si>
    <t>2</t>
  </si>
  <si>
    <t>No</t>
  </si>
  <si>
    <t>Class</t>
  </si>
  <si>
    <t>3</t>
  </si>
  <si>
    <t>Categorie</t>
  </si>
  <si>
    <t>4</t>
  </si>
  <si>
    <t>public</t>
  </si>
  <si>
    <t>Attribute</t>
  </si>
  <si>
    <t>5</t>
  </si>
  <si>
    <t>omschrijving</t>
  </si>
  <si>
    <t>java.lang.String</t>
  </si>
  <si>
    <t>private</t>
  </si>
  <si>
    <t>Unspecified</t>
  </si>
  <si>
    <t>instance</t>
  </si>
  <si>
    <t>None</t>
  </si>
  <si>
    <t>Yes</t>
  </si>
  <si>
    <t>6</t>
  </si>
  <si>
    <t>snelheid</t>
  </si>
  <si>
    <t>int</t>
  </si>
  <si>
    <t>7</t>
  </si>
  <si>
    <t>kracht</t>
  </si>
  <si>
    <t>8</t>
  </si>
  <si>
    <t>lenigheid</t>
  </si>
  <si>
    <t>Operation</t>
  </si>
  <si>
    <t>9</t>
  </si>
  <si>
    <t>Parameter</t>
  </si>
  <si>
    <t>10</t>
  </si>
  <si>
    <t>inout</t>
  </si>
  <si>
    <t>11</t>
  </si>
  <si>
    <t>12</t>
  </si>
  <si>
    <t>13</t>
  </si>
  <si>
    <t>14</t>
  </si>
  <si>
    <t>Personage</t>
  </si>
  <si>
    <t>15</t>
  </si>
  <si>
    <t>16</t>
  </si>
  <si>
    <t>naam</t>
  </si>
  <si>
    <t>17</t>
  </si>
  <si>
    <t>18</t>
  </si>
  <si>
    <t>19</t>
  </si>
  <si>
    <t>categorie</t>
  </si>
  <si>
    <t>domein.Categorie</t>
  </si>
  <si>
    <t>20</t>
  </si>
  <si>
    <t>getCategorie</t>
  </si>
  <si>
    <t>21</t>
  </si>
  <si>
    <t>PersonageRepository</t>
  </si>
  <si>
    <t>22</t>
  </si>
  <si>
    <t>23</t>
  </si>
  <si>
    <t>24</t>
  </si>
  <si>
    <t>voegToe</t>
  </si>
  <si>
    <t>boolean</t>
  </si>
  <si>
    <t>25</t>
  </si>
  <si>
    <t>personage</t>
  </si>
  <si>
    <t>domein.Personage</t>
  </si>
  <si>
    <t>26</t>
  </si>
  <si>
    <t>getPersonages</t>
  </si>
  <si>
    <t>List&lt;domein.Personage&gt;</t>
  </si>
  <si>
    <t>27</t>
  </si>
  <si>
    <t>geefPersonage</t>
  </si>
  <si>
    <t>28</t>
  </si>
  <si>
    <t>29</t>
  </si>
  <si>
    <t>CategorieRepository</t>
  </si>
  <si>
    <t>30</t>
  </si>
  <si>
    <t>31</t>
  </si>
  <si>
    <t>32</t>
  </si>
  <si>
    <t>void</t>
  </si>
  <si>
    <t>33</t>
  </si>
  <si>
    <t>34</t>
  </si>
  <si>
    <t>getCategorieen</t>
  </si>
  <si>
    <t>List&lt;domein.Categorie&gt;</t>
  </si>
  <si>
    <t>35</t>
  </si>
  <si>
    <t>geefCategorie</t>
  </si>
  <si>
    <t>36</t>
  </si>
  <si>
    <t>37</t>
  </si>
  <si>
    <t>DomeinController</t>
  </si>
  <si>
    <t>38</t>
  </si>
  <si>
    <t>39</t>
  </si>
  <si>
    <t>40</t>
  </si>
  <si>
    <t>maakCategorie</t>
  </si>
  <si>
    <t>41</t>
  </si>
  <si>
    <t>42</t>
  </si>
  <si>
    <t>43</t>
  </si>
  <si>
    <t>44</t>
  </si>
  <si>
    <t>45</t>
  </si>
  <si>
    <t>geefCategorieen</t>
  </si>
  <si>
    <t>java.util.List&lt;CategorieDTO&gt;</t>
  </si>
  <si>
    <t>46</t>
  </si>
  <si>
    <t>selecteerCategorie</t>
  </si>
  <si>
    <t>47</t>
  </si>
  <si>
    <t>48</t>
  </si>
  <si>
    <t>maakPersonage</t>
  </si>
  <si>
    <t>49</t>
  </si>
  <si>
    <t>50</t>
  </si>
  <si>
    <t>geefPersonages</t>
  </si>
  <si>
    <t>java.util.List&lt;String&gt;</t>
  </si>
  <si>
    <t>51</t>
  </si>
  <si>
    <t>selecteerPersonage</t>
  </si>
  <si>
    <t>52</t>
  </si>
  <si>
    <t>53</t>
  </si>
  <si>
    <t>geefDetailsPersonage</t>
  </si>
  <si>
    <t>domein.PersonageDTO</t>
  </si>
  <si>
    <t>Association</t>
  </si>
  <si>
    <t>54</t>
  </si>
  <si>
    <t>55</t>
  </si>
  <si>
    <t>False</t>
  </si>
  <si>
    <t>categorieRepo</t>
  </si>
  <si>
    <t>True</t>
  </si>
  <si>
    <t>56</t>
  </si>
  <si>
    <t>57</t>
  </si>
  <si>
    <t>58</t>
  </si>
  <si>
    <t>personageRepo</t>
  </si>
  <si>
    <t>59</t>
  </si>
  <si>
    <t>60</t>
  </si>
  <si>
    <t>huidigPersonage</t>
  </si>
  <si>
    <t>0..1</t>
  </si>
  <si>
    <t>61</t>
  </si>
  <si>
    <t>62</t>
  </si>
  <si>
    <t>personages</t>
  </si>
  <si>
    <t>*</t>
  </si>
  <si>
    <t>63</t>
  </si>
  <si>
    <t>64</t>
  </si>
  <si>
    <t>huidigeCategorie</t>
  </si>
  <si>
    <t>65</t>
  </si>
  <si>
    <t>66</t>
  </si>
  <si>
    <t>categorieen</t>
  </si>
  <si>
    <t>67</t>
  </si>
  <si>
    <t>68</t>
  </si>
  <si>
    <t>References</t>
  </si>
  <si>
    <t>Reference ID</t>
  </si>
  <si>
    <t>Reference Name</t>
  </si>
  <si>
    <t>URL</t>
  </si>
  <si>
    <t>Diagram Parent Model</t>
  </si>
  <si>
    <t>Package</t>
  </si>
  <si>
    <t>WARNING: Do NOT modify this sheet</t>
  </si>
  <si>
    <t>20250813</t>
  </si>
  <si>
    <t>false</t>
  </si>
  <si>
    <t>ee3f96ccfcb2931a592113c0264fee81</t>
  </si>
  <si>
    <t>uCcMhsGGAqAAyxEd</t>
  </si>
  <si>
    <t>36UMhsGGAqAAyxBq</t>
  </si>
  <si>
    <t>kUaMhsGGAqAAyxOj</t>
  </si>
  <si>
    <t>oGUMhsGGAqAAyxC2</t>
  </si>
  <si>
    <t>YGUMhsGGAqAAyxC4</t>
  </si>
  <si>
    <t>YGUMhsGGAqAAyxC6</t>
  </si>
  <si>
    <t>YGUMhsGGAqAAyxC8</t>
  </si>
  <si>
    <t>4GUMhsGGAqAAyxC.</t>
  </si>
  <si>
    <t>4GUMhsGGAqAAyxDA</t>
  </si>
  <si>
    <t>4GUMhsGGAqAAyxDC</t>
  </si>
  <si>
    <t>4GUMhsGGAqAAyxDE</t>
  </si>
  <si>
    <t>4GUMhsGGAqAAyxDG</t>
  </si>
  <si>
    <t>4GUMhsGGAqAAyxDI</t>
  </si>
  <si>
    <t>YQqMhsGGAqAAyxOV</t>
  </si>
  <si>
    <t>36UMhsGGAqAAyxBr</t>
  </si>
  <si>
    <t>P6UMhsGGAqAAyxBt</t>
  </si>
  <si>
    <t>YmSmZsGGAqAAywoc</t>
  </si>
  <si>
    <t>4mSmZsGGAqAAywoe</t>
  </si>
  <si>
    <t>4mSmZsGGAqAAywog</t>
  </si>
  <si>
    <t>LsThhsGGAqAAyxUz</t>
  </si>
  <si>
    <t>KQKMhsGGAqAAyxOM</t>
  </si>
  <si>
    <t>QGUMhsGGAqAAyxCW</t>
  </si>
  <si>
    <t>wGUMhsGGAqAAyxCY</t>
  </si>
  <si>
    <t>MJdGZsGGAqAAywn6</t>
  </si>
  <si>
    <t>sJdGZsGGAqAAywn8</t>
  </si>
  <si>
    <t>EiTGZsGGAqAAywoC</t>
  </si>
  <si>
    <t>wGUMhsGGAqAAyxCa</t>
  </si>
  <si>
    <t>wGUMhsGGAqAAyxCc</t>
  </si>
  <si>
    <t>43SMhsGGAqAAyxMN</t>
  </si>
  <si>
    <t>IGUMhsGGAqAAyxCk</t>
  </si>
  <si>
    <t>IGUMhsGGAqAAyxCm</t>
  </si>
  <si>
    <t>oGUMhsGGAqAAyxCs</t>
  </si>
  <si>
    <t>oGUMhsGGAqAAyxCu</t>
  </si>
  <si>
    <t>PHDqZsGGAqAAywmB</t>
  </si>
  <si>
    <t>1SSaZsGGAqAAywmP</t>
  </si>
  <si>
    <t>tSSaZsGGAqAAywmR</t>
  </si>
  <si>
    <t>35iMhsGGAqAAyxH8</t>
  </si>
  <si>
    <t>_6UMhsGGAqAAyxB2</t>
  </si>
  <si>
    <t>AGUMhsGGAqAAyxB4</t>
  </si>
  <si>
    <t>AGUMhsGGAqAAyxB6</t>
  </si>
  <si>
    <t>AGUMhsGGAqAAyxB8</t>
  </si>
  <si>
    <t>AGUMhsGGAqAAyxCA</t>
  </si>
  <si>
    <t>riioQSGGAqAAyxMN</t>
  </si>
  <si>
    <t>AGUMhsGGAqAAyxCC</t>
  </si>
  <si>
    <t>zDTcZsGGAqAAywZg</t>
  </si>
  <si>
    <t>zPL8ZsGGAqAAywjk</t>
  </si>
  <si>
    <t>7PL8ZsGGAqAAywjm</t>
  </si>
  <si>
    <t>_c4CZsGGAqAAywjs</t>
  </si>
  <si>
    <t>A84CZsGGAqAAywju</t>
  </si>
  <si>
    <t>gGUMhsGGAqAAyxCG</t>
  </si>
  <si>
    <t>W52WhsGGAqAAyxTA</t>
  </si>
  <si>
    <t>W52WhsGGAqAAyxTC</t>
  </si>
  <si>
    <t>_IU2hsGGAqAAyxTI</t>
  </si>
  <si>
    <t>k3SMhsGGAqAAyxMP</t>
  </si>
  <si>
    <t>MGUMhsGGAqAAyxDf</t>
  </si>
  <si>
    <t>xIsMhsGGAqAAyxEc</t>
  </si>
  <si>
    <t>qQKMhsGGAqAAyxOO</t>
  </si>
  <si>
    <t>sGUMhsGGAqAAyxDm</t>
  </si>
  <si>
    <t>4QqMhsGGAqAAyxOX</t>
  </si>
  <si>
    <t>8GUMhsGGAqAAyxD0</t>
  </si>
  <si>
    <t>EQqMhsGGAqAAyxOZ</t>
  </si>
  <si>
    <t>SGUMhsGGAqAAyxEG</t>
  </si>
  <si>
    <t>UUaMhsGGAqAAyxOn</t>
  </si>
  <si>
    <t>cGUMhsGGAqAAyxDt</t>
  </si>
  <si>
    <t>UUaMhsGGAqAAyxOp</t>
  </si>
  <si>
    <t>yGUMhsGGAqAAyxEN</t>
  </si>
  <si>
    <t>tyv.hsGGAqAAyxUI</t>
  </si>
  <si>
    <t>Jyv.hsGGAqAAyxUD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</si>
</sst>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spr805\Documents\Git%20projecten\OOSD%20I\H05\H05_oefOpl\Personages_stappen.xlsx" TargetMode="External"/><Relationship Id="rId1" Type="http://schemas.openxmlformats.org/officeDocument/2006/relationships/externalLinkPath" Target="Personages_stapp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K1" t="str">
            <v>ID VP (nr)</v>
          </cell>
          <cell r="N1" t="str">
            <v>AX</v>
          </cell>
          <cell r="O1" t="str">
            <v>AH</v>
          </cell>
        </row>
        <row r="2">
          <cell r="K2" t="str">
            <v>37</v>
          </cell>
          <cell r="N2" t="str">
            <v>No</v>
          </cell>
          <cell r="O2" t="str">
            <v/>
          </cell>
        </row>
        <row r="3">
          <cell r="K3" t="str">
            <v>40</v>
          </cell>
          <cell r="N3" t="str">
            <v>No</v>
          </cell>
          <cell r="O3" t="str">
            <v/>
          </cell>
        </row>
        <row r="4">
          <cell r="K4" t="str">
            <v>41</v>
          </cell>
          <cell r="N4" t="str">
            <v>No</v>
          </cell>
          <cell r="O4" t="str">
            <v/>
          </cell>
        </row>
        <row r="5">
          <cell r="K5" t="str">
            <v>42</v>
          </cell>
          <cell r="N5" t="str">
            <v>No</v>
          </cell>
          <cell r="O5" t="str">
            <v/>
          </cell>
        </row>
        <row r="6">
          <cell r="K6" t="str">
            <v>43</v>
          </cell>
          <cell r="N6" t="str">
            <v>No</v>
          </cell>
          <cell r="O6" t="str">
            <v/>
          </cell>
        </row>
        <row r="7">
          <cell r="K7" t="str">
            <v>44</v>
          </cell>
          <cell r="N7" t="str">
            <v>No</v>
          </cell>
          <cell r="O7" t="str">
            <v/>
          </cell>
        </row>
        <row r="8">
          <cell r="K8" t="str">
            <v>3</v>
          </cell>
          <cell r="N8" t="str">
            <v>No</v>
          </cell>
          <cell r="O8" t="str">
            <v/>
          </cell>
        </row>
        <row r="9">
          <cell r="K9" t="str">
            <v>5</v>
          </cell>
          <cell r="N9" t="str">
            <v>No</v>
          </cell>
          <cell r="O9" t="str">
            <v>Yes</v>
          </cell>
        </row>
        <row r="10">
          <cell r="K10" t="str">
            <v>6</v>
          </cell>
          <cell r="N10" t="str">
            <v>No</v>
          </cell>
          <cell r="O10" t="str">
            <v>No</v>
          </cell>
        </row>
        <row r="11">
          <cell r="K11" t="str">
            <v>7</v>
          </cell>
          <cell r="N11" t="str">
            <v>No</v>
          </cell>
          <cell r="O11" t="str">
            <v>No</v>
          </cell>
        </row>
        <row r="12">
          <cell r="K12" t="str">
            <v>8</v>
          </cell>
          <cell r="N12" t="str">
            <v>No</v>
          </cell>
          <cell r="O12" t="str">
            <v>No</v>
          </cell>
        </row>
        <row r="13">
          <cell r="K13" t="str">
            <v>9</v>
          </cell>
          <cell r="N13" t="str">
            <v>No</v>
          </cell>
          <cell r="O13" t="str">
            <v/>
          </cell>
        </row>
        <row r="14">
          <cell r="K14" t="str">
            <v>10</v>
          </cell>
          <cell r="N14" t="str">
            <v>No</v>
          </cell>
          <cell r="O14" t="str">
            <v/>
          </cell>
        </row>
        <row r="15">
          <cell r="K15" t="str">
            <v>11</v>
          </cell>
          <cell r="N15" t="str">
            <v>No</v>
          </cell>
          <cell r="O15" t="str">
            <v/>
          </cell>
        </row>
        <row r="16">
          <cell r="K16" t="str">
            <v>12</v>
          </cell>
          <cell r="N16" t="str">
            <v>No</v>
          </cell>
          <cell r="O16" t="str">
            <v/>
          </cell>
        </row>
        <row r="17">
          <cell r="K17" t="str">
            <v>13</v>
          </cell>
          <cell r="N17" t="str">
            <v>No</v>
          </cell>
          <cell r="O17" t="str">
            <v/>
          </cell>
        </row>
        <row r="18">
          <cell r="K18" t="str">
            <v>29</v>
          </cell>
          <cell r="N18" t="str">
            <v>No</v>
          </cell>
          <cell r="O18" t="str">
            <v/>
          </cell>
        </row>
        <row r="19">
          <cell r="K19" t="str">
            <v>31</v>
          </cell>
          <cell r="N19" t="str">
            <v>No</v>
          </cell>
          <cell r="O19" t="str">
            <v/>
          </cell>
        </row>
        <row r="20">
          <cell r="K20" t="str">
            <v>39</v>
          </cell>
          <cell r="N20" t="str">
            <v>No</v>
          </cell>
          <cell r="O20" t="str">
            <v/>
          </cell>
        </row>
        <row r="21">
          <cell r="K21" t="str">
            <v>54</v>
          </cell>
          <cell r="N21" t="str">
            <v>No</v>
          </cell>
          <cell r="O21" t="str">
            <v/>
          </cell>
        </row>
        <row r="22">
          <cell r="K22" t="str">
            <v>65</v>
          </cell>
          <cell r="N22" t="str">
            <v>No</v>
          </cell>
          <cell r="O22" t="str">
            <v/>
          </cell>
        </row>
        <row r="23">
          <cell r="K23" t="str">
            <v>32</v>
          </cell>
          <cell r="N23" t="str">
            <v>No</v>
          </cell>
          <cell r="O23" t="str">
            <v/>
          </cell>
        </row>
        <row r="24">
          <cell r="K24" t="str">
            <v>33</v>
          </cell>
          <cell r="N24" t="str">
            <v>No</v>
          </cell>
          <cell r="O24" t="str">
            <v/>
          </cell>
        </row>
        <row r="25">
          <cell r="K25" t="str">
            <v>45</v>
          </cell>
          <cell r="N25" t="str">
            <v>No</v>
          </cell>
          <cell r="O25" t="str">
            <v/>
          </cell>
        </row>
        <row r="26">
          <cell r="K26" t="str">
            <v>34</v>
          </cell>
          <cell r="N26" t="str">
            <v>No</v>
          </cell>
          <cell r="O26" t="str">
            <v/>
          </cell>
        </row>
        <row r="27">
          <cell r="K27" t="str">
            <v>6</v>
          </cell>
          <cell r="N27" t="str">
            <v>No</v>
          </cell>
          <cell r="O27" t="str">
            <v>Yes</v>
          </cell>
        </row>
        <row r="28">
          <cell r="K28" t="str">
            <v>7</v>
          </cell>
          <cell r="N28" t="str">
            <v>No</v>
          </cell>
          <cell r="O28" t="str">
            <v>Yes</v>
          </cell>
        </row>
        <row r="29">
          <cell r="K29" t="str">
            <v>8</v>
          </cell>
          <cell r="N29" t="str">
            <v>No</v>
          </cell>
          <cell r="O29" t="str">
            <v>Yes</v>
          </cell>
        </row>
        <row r="30">
          <cell r="K30" t="str">
            <v>46</v>
          </cell>
          <cell r="N30" t="str">
            <v>No</v>
          </cell>
          <cell r="O30" t="str">
            <v/>
          </cell>
        </row>
        <row r="31">
          <cell r="K31" t="str">
            <v>47</v>
          </cell>
          <cell r="N31" t="str">
            <v>No</v>
          </cell>
          <cell r="O31" t="str">
            <v/>
          </cell>
        </row>
        <row r="32">
          <cell r="K32" t="str">
            <v>35</v>
          </cell>
          <cell r="N32" t="str">
            <v>No</v>
          </cell>
          <cell r="O32" t="str">
            <v/>
          </cell>
        </row>
        <row r="33">
          <cell r="K33" t="str">
            <v>36</v>
          </cell>
          <cell r="N33" t="str">
            <v>No</v>
          </cell>
          <cell r="O33" t="str">
            <v/>
          </cell>
        </row>
        <row r="34">
          <cell r="K34" t="str">
            <v>63</v>
          </cell>
          <cell r="N34" t="str">
            <v>No</v>
          </cell>
          <cell r="O34" t="str">
            <v/>
          </cell>
        </row>
        <row r="35">
          <cell r="K35" t="str">
            <v>48</v>
          </cell>
          <cell r="N35" t="str">
            <v>No</v>
          </cell>
          <cell r="O35" t="str">
            <v/>
          </cell>
        </row>
        <row r="36">
          <cell r="K36" t="str">
            <v>49</v>
          </cell>
          <cell r="N36" t="str">
            <v>No</v>
          </cell>
          <cell r="O36" t="str">
            <v/>
          </cell>
        </row>
        <row r="37">
          <cell r="K37" t="str">
            <v>14</v>
          </cell>
          <cell r="N37" t="str">
            <v>No</v>
          </cell>
          <cell r="O37" t="str">
            <v/>
          </cell>
        </row>
        <row r="38">
          <cell r="K38" t="str">
            <v>16</v>
          </cell>
          <cell r="N38" t="str">
            <v>No</v>
          </cell>
          <cell r="O38" t="str">
            <v>Yes</v>
          </cell>
        </row>
        <row r="39">
          <cell r="K39" t="str">
            <v>67</v>
          </cell>
          <cell r="N39" t="str">
            <v>No</v>
          </cell>
          <cell r="O39" t="str">
            <v/>
          </cell>
        </row>
        <row r="40">
          <cell r="K40" t="str">
            <v>17</v>
          </cell>
          <cell r="N40" t="str">
            <v>No</v>
          </cell>
          <cell r="O40" t="str">
            <v/>
          </cell>
        </row>
        <row r="41">
          <cell r="K41" t="str">
            <v>18</v>
          </cell>
          <cell r="N41" t="str">
            <v>No</v>
          </cell>
          <cell r="O41" t="str">
            <v/>
          </cell>
        </row>
        <row r="42">
          <cell r="K42" t="str">
            <v>19</v>
          </cell>
          <cell r="N42" t="str">
            <v>No</v>
          </cell>
          <cell r="O42" t="str">
            <v/>
          </cell>
        </row>
        <row r="43">
          <cell r="K43" t="str">
            <v>21</v>
          </cell>
          <cell r="N43" t="str">
            <v>No</v>
          </cell>
          <cell r="O43" t="str">
            <v/>
          </cell>
        </row>
        <row r="44">
          <cell r="K44" t="str">
            <v>23</v>
          </cell>
          <cell r="N44" t="str">
            <v>No</v>
          </cell>
          <cell r="O44" t="str">
            <v/>
          </cell>
        </row>
        <row r="45">
          <cell r="K45" t="str">
            <v>57</v>
          </cell>
          <cell r="N45" t="str">
            <v>No</v>
          </cell>
          <cell r="O45" t="str">
            <v/>
          </cell>
        </row>
        <row r="46">
          <cell r="K46" t="str">
            <v>61</v>
          </cell>
          <cell r="N46" t="str">
            <v>No</v>
          </cell>
          <cell r="O46" t="str">
            <v/>
          </cell>
        </row>
        <row r="47">
          <cell r="K47" t="str">
            <v>24</v>
          </cell>
          <cell r="N47" t="str">
            <v>No</v>
          </cell>
          <cell r="O47" t="str">
            <v/>
          </cell>
        </row>
        <row r="48">
          <cell r="K48" t="str">
            <v>25</v>
          </cell>
          <cell r="N48" t="str">
            <v>No</v>
          </cell>
          <cell r="O48" t="str">
            <v/>
          </cell>
        </row>
        <row r="49">
          <cell r="K49" t="str">
            <v>50</v>
          </cell>
          <cell r="N49" t="str">
            <v>No</v>
          </cell>
          <cell r="O49" t="str">
            <v/>
          </cell>
        </row>
        <row r="50">
          <cell r="K50" t="str">
            <v>26</v>
          </cell>
          <cell r="N50" t="str">
            <v>No</v>
          </cell>
          <cell r="O50" t="str">
            <v/>
          </cell>
        </row>
        <row r="51">
          <cell r="K51" t="str">
            <v>51</v>
          </cell>
          <cell r="N51" t="str">
            <v>No</v>
          </cell>
          <cell r="O51" t="str">
            <v/>
          </cell>
        </row>
        <row r="52">
          <cell r="K52" t="str">
            <v>52</v>
          </cell>
          <cell r="N52" t="str">
            <v>No</v>
          </cell>
          <cell r="O52" t="str">
            <v/>
          </cell>
        </row>
        <row r="53">
          <cell r="K53" t="str">
            <v>27</v>
          </cell>
          <cell r="N53" t="str">
            <v>No</v>
          </cell>
          <cell r="O53" t="str">
            <v/>
          </cell>
        </row>
        <row r="54">
          <cell r="K54" t="str">
            <v>28</v>
          </cell>
          <cell r="N54" t="str">
            <v>No</v>
          </cell>
          <cell r="O54" t="str">
            <v/>
          </cell>
        </row>
        <row r="55">
          <cell r="K55" t="str">
            <v>59</v>
          </cell>
          <cell r="N55" t="str">
            <v>No</v>
          </cell>
          <cell r="O55" t="str">
            <v/>
          </cell>
        </row>
        <row r="56">
          <cell r="K56" t="str">
            <v>53</v>
          </cell>
          <cell r="N56" t="str">
            <v>No</v>
          </cell>
          <cell r="O56" t="str">
            <v/>
          </cell>
        </row>
        <row r="57">
          <cell r="K57" t="str">
            <v>20</v>
          </cell>
          <cell r="N57" t="str">
            <v>No</v>
          </cell>
          <cell r="O57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5"/>
  <sheetViews>
    <sheetView tabSelected="1" topLeftCell="AI1" workbookViewId="0">
      <selection activeCell="AQ17" sqref="AQ17"/>
    </sheetView>
  </sheetViews>
  <sheetFormatPr defaultRowHeight="14.5" x14ac:dyDescent="0.35"/>
  <cols>
    <col min="1" max="1" width="11.54296875" bestFit="1" customWidth="1"/>
    <col min="2" max="2" width="3.1796875" bestFit="1" customWidth="1"/>
    <col min="3" max="3" width="20.36328125" bestFit="1" customWidth="1"/>
    <col min="4" max="4" width="17.6328125" customWidth="1"/>
    <col min="5" max="5" width="11.36328125" customWidth="1"/>
    <col min="6" max="6" width="13.453125" customWidth="1"/>
    <col min="7" max="7" width="9.26953125" customWidth="1"/>
    <col min="8" max="8" width="11.90625" customWidth="1"/>
    <col min="9" max="9" width="11.36328125" customWidth="1"/>
    <col min="10" max="10" width="8.7265625" customWidth="1"/>
    <col min="11" max="11" width="4.7265625" customWidth="1"/>
    <col min="12" max="12" width="5.26953125" customWidth="1"/>
    <col min="13" max="13" width="6.7265625" customWidth="1"/>
    <col min="14" max="14" width="15.08984375" customWidth="1"/>
    <col min="15" max="15" width="12.6328125" customWidth="1"/>
    <col min="16" max="16" width="10.08984375" customWidth="1"/>
    <col min="17" max="17" width="11.6328125" customWidth="1"/>
    <col min="18" max="18" width="11.36328125" customWidth="1"/>
    <col min="19" max="19" width="13.90625" customWidth="1"/>
    <col min="20" max="20" width="8.36328125" customWidth="1"/>
    <col min="21" max="21" width="12.08984375" customWidth="1"/>
    <col min="22" max="22" width="8.08984375" customWidth="1"/>
    <col min="23" max="23" width="7.08984375" customWidth="1"/>
    <col min="24" max="24" width="6.54296875" customWidth="1"/>
    <col min="25" max="25" width="6.90625" bestFit="1" customWidth="1"/>
    <col min="26" max="26" width="7.54296875" customWidth="1"/>
    <col min="27" max="27" width="26.453125" customWidth="1"/>
    <col min="28" max="29" width="6.54296875" customWidth="1"/>
    <col min="30" max="30" width="14.7265625" customWidth="1"/>
    <col min="31" max="31" width="6.54296875" customWidth="1"/>
    <col min="32" max="32" width="8.6328125" customWidth="1"/>
    <col min="33" max="33" width="9.26953125" customWidth="1"/>
    <col min="34" max="34" width="13.36328125" customWidth="1"/>
    <col min="35" max="35" width="5.6328125" customWidth="1"/>
    <col min="36" max="36" width="10.26953125" customWidth="1"/>
    <col min="37" max="37" width="16.6328125" customWidth="1"/>
    <col min="38" max="38" width="15.26953125" customWidth="1"/>
    <col min="39" max="39" width="21.90625" customWidth="1"/>
    <col min="40" max="40" width="3.26953125" customWidth="1"/>
    <col min="41" max="41" width="16.08984375" bestFit="1" customWidth="1"/>
    <col min="42" max="42" width="14.26953125" bestFit="1" customWidth="1"/>
    <col min="43" max="43" width="12.90625" customWidth="1"/>
    <col min="44" max="44" width="19.54296875" customWidth="1"/>
    <col min="45" max="45" width="20.1796875" customWidth="1"/>
    <col min="46" max="46" width="11.08984375" customWidth="1"/>
    <col min="47" max="47" width="14.54296875" customWidth="1"/>
    <col min="48" max="48" width="9.453125" bestFit="1" customWidth="1"/>
    <col min="49" max="49" width="19.81640625" bestFit="1" customWidth="1"/>
    <col min="50" max="50" width="8.453125" bestFit="1" customWidth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2" x14ac:dyDescent="0.35">
      <c r="A2" s="2" t="s">
        <v>50</v>
      </c>
      <c r="B2" s="3" t="s">
        <v>51</v>
      </c>
      <c r="C2" s="4" t="s">
        <v>52</v>
      </c>
      <c r="D2" s="3" t="s">
        <v>53</v>
      </c>
      <c r="F2" s="4" t="s">
        <v>54</v>
      </c>
      <c r="AX2" s="4" t="s">
        <v>55</v>
      </c>
    </row>
    <row r="3" spans="1:52" x14ac:dyDescent="0.35">
      <c r="A3" s="2" t="s">
        <v>56</v>
      </c>
      <c r="B3" s="3" t="s">
        <v>57</v>
      </c>
      <c r="C3" s="4" t="s">
        <v>58</v>
      </c>
      <c r="G3" s="4" t="s">
        <v>59</v>
      </c>
      <c r="I3" s="4" t="s">
        <v>60</v>
      </c>
      <c r="J3" s="4" t="s">
        <v>55</v>
      </c>
      <c r="K3" s="4" t="s">
        <v>55</v>
      </c>
      <c r="L3" s="4" t="s">
        <v>55</v>
      </c>
      <c r="M3" s="4" t="s">
        <v>55</v>
      </c>
      <c r="N3" s="4" t="s">
        <v>55</v>
      </c>
      <c r="Y3" t="str">
        <f>IF(A3&lt;&gt;"Attribute","",IF(AZ3&gt;=1,"Yes","No"))</f>
        <v/>
      </c>
      <c r="AT3" s="4" t="s">
        <v>51</v>
      </c>
      <c r="AU3" s="4" t="s">
        <v>52</v>
      </c>
      <c r="AV3" s="4" t="s">
        <v>54</v>
      </c>
      <c r="AW3" s="4" t="s">
        <v>52</v>
      </c>
      <c r="AX3" s="4" t="str">
        <f>IF(AY3&gt;=1, "No", "Yes")</f>
        <v>No</v>
      </c>
      <c r="AY3">
        <f>COUNTIFS([1]Sheet1!$K:$K, B3, [1]Sheet1!$N:$N, "No")</f>
        <v>1</v>
      </c>
      <c r="AZ3">
        <f>COUNTIFS([1]Sheet1!$K:$K, B3, [1]Sheet1!$O:$O, "Yes")</f>
        <v>0</v>
      </c>
    </row>
    <row r="4" spans="1:52" x14ac:dyDescent="0.35">
      <c r="A4" s="2" t="s">
        <v>61</v>
      </c>
      <c r="B4" s="3" t="s">
        <v>62</v>
      </c>
      <c r="C4" s="4" t="s">
        <v>63</v>
      </c>
      <c r="D4" s="4" t="s">
        <v>64</v>
      </c>
      <c r="G4" s="4" t="s">
        <v>62</v>
      </c>
      <c r="I4" s="4" t="s">
        <v>65</v>
      </c>
      <c r="J4" s="4" t="s">
        <v>55</v>
      </c>
      <c r="R4" s="4" t="s">
        <v>66</v>
      </c>
      <c r="S4" s="4" t="s">
        <v>0</v>
      </c>
      <c r="T4" s="4" t="s">
        <v>67</v>
      </c>
      <c r="U4" s="4" t="s">
        <v>68</v>
      </c>
      <c r="V4" s="4" t="s">
        <v>55</v>
      </c>
      <c r="W4" s="4" t="s">
        <v>69</v>
      </c>
      <c r="X4" s="4" t="s">
        <v>55</v>
      </c>
      <c r="Y4" t="str">
        <f t="shared" ref="Y4:Y55" si="0">IF(A4&lt;&gt;"Attribute","",IF(AZ4&gt;=1,"Yes","No"))</f>
        <v>Yes</v>
      </c>
      <c r="Z4" s="4" t="s">
        <v>69</v>
      </c>
      <c r="AT4" s="4" t="s">
        <v>51</v>
      </c>
      <c r="AU4" s="4" t="s">
        <v>52</v>
      </c>
      <c r="AV4" s="4" t="s">
        <v>59</v>
      </c>
      <c r="AW4" s="4" t="s">
        <v>58</v>
      </c>
      <c r="AX4" s="4" t="str">
        <f t="shared" ref="AX4:AX55" si="1">IF(AY4&gt;=1, "No", "Yes")</f>
        <v>No</v>
      </c>
      <c r="AY4">
        <f>COUNTIFS([1]Sheet1!$K:$K, B4, [1]Sheet1!$N:$N, "No")</f>
        <v>1</v>
      </c>
      <c r="AZ4">
        <f>COUNTIFS([1]Sheet1!$K:$K, B4, [1]Sheet1!$O:$O, "Yes")</f>
        <v>1</v>
      </c>
    </row>
    <row r="5" spans="1:52" x14ac:dyDescent="0.35">
      <c r="A5" s="2" t="s">
        <v>61</v>
      </c>
      <c r="B5" s="3" t="s">
        <v>70</v>
      </c>
      <c r="C5" s="4" t="s">
        <v>71</v>
      </c>
      <c r="D5" s="4" t="s">
        <v>72</v>
      </c>
      <c r="G5" s="4" t="s">
        <v>70</v>
      </c>
      <c r="I5" s="4" t="s">
        <v>65</v>
      </c>
      <c r="J5" s="4" t="s">
        <v>55</v>
      </c>
      <c r="R5" s="4" t="s">
        <v>66</v>
      </c>
      <c r="S5" s="4" t="s">
        <v>0</v>
      </c>
      <c r="T5" s="4" t="s">
        <v>67</v>
      </c>
      <c r="U5" s="4" t="s">
        <v>68</v>
      </c>
      <c r="V5" s="4" t="s">
        <v>55</v>
      </c>
      <c r="W5" s="4" t="s">
        <v>69</v>
      </c>
      <c r="X5" s="4" t="s">
        <v>55</v>
      </c>
      <c r="Y5" t="str">
        <f t="shared" si="0"/>
        <v>Yes</v>
      </c>
      <c r="Z5" s="4" t="s">
        <v>69</v>
      </c>
      <c r="AT5" s="4" t="s">
        <v>51</v>
      </c>
      <c r="AU5" s="4" t="s">
        <v>52</v>
      </c>
      <c r="AV5" s="4" t="s">
        <v>59</v>
      </c>
      <c r="AW5" s="4" t="s">
        <v>58</v>
      </c>
      <c r="AX5" s="4" t="str">
        <f t="shared" si="1"/>
        <v>No</v>
      </c>
      <c r="AY5">
        <f>COUNTIFS([1]Sheet1!$K:$K, B5, [1]Sheet1!$N:$N, "No")</f>
        <v>2</v>
      </c>
      <c r="AZ5">
        <f>COUNTIFS([1]Sheet1!$K:$K, B5, [1]Sheet1!$O:$O, "Yes")</f>
        <v>1</v>
      </c>
    </row>
    <row r="6" spans="1:52" x14ac:dyDescent="0.35">
      <c r="A6" s="2" t="s">
        <v>61</v>
      </c>
      <c r="B6" s="3" t="s">
        <v>73</v>
      </c>
      <c r="C6" s="4" t="s">
        <v>74</v>
      </c>
      <c r="D6" s="4" t="s">
        <v>72</v>
      </c>
      <c r="G6" s="4" t="s">
        <v>73</v>
      </c>
      <c r="I6" s="4" t="s">
        <v>65</v>
      </c>
      <c r="J6" s="4" t="s">
        <v>55</v>
      </c>
      <c r="R6" s="4" t="s">
        <v>66</v>
      </c>
      <c r="S6" s="4" t="s">
        <v>0</v>
      </c>
      <c r="T6" s="4" t="s">
        <v>67</v>
      </c>
      <c r="U6" s="4" t="s">
        <v>68</v>
      </c>
      <c r="V6" s="4" t="s">
        <v>55</v>
      </c>
      <c r="W6" s="4" t="s">
        <v>69</v>
      </c>
      <c r="X6" s="4" t="s">
        <v>55</v>
      </c>
      <c r="Y6" t="str">
        <f t="shared" si="0"/>
        <v>Yes</v>
      </c>
      <c r="Z6" s="4" t="s">
        <v>69</v>
      </c>
      <c r="AT6" s="4" t="s">
        <v>51</v>
      </c>
      <c r="AU6" s="4" t="s">
        <v>52</v>
      </c>
      <c r="AV6" s="4" t="s">
        <v>59</v>
      </c>
      <c r="AW6" s="4" t="s">
        <v>58</v>
      </c>
      <c r="AX6" s="4" t="str">
        <f t="shared" si="1"/>
        <v>No</v>
      </c>
      <c r="AY6">
        <f>COUNTIFS([1]Sheet1!$K:$K, B6, [1]Sheet1!$N:$N, "No")</f>
        <v>2</v>
      </c>
      <c r="AZ6">
        <f>COUNTIFS([1]Sheet1!$K:$K, B6, [1]Sheet1!$O:$O, "Yes")</f>
        <v>1</v>
      </c>
    </row>
    <row r="7" spans="1:52" x14ac:dyDescent="0.35">
      <c r="A7" s="2" t="s">
        <v>61</v>
      </c>
      <c r="B7" s="3" t="s">
        <v>75</v>
      </c>
      <c r="C7" s="4" t="s">
        <v>76</v>
      </c>
      <c r="D7" s="4" t="s">
        <v>72</v>
      </c>
      <c r="G7" s="4" t="s">
        <v>75</v>
      </c>
      <c r="I7" s="4" t="s">
        <v>65</v>
      </c>
      <c r="J7" s="4" t="s">
        <v>55</v>
      </c>
      <c r="R7" s="4" t="s">
        <v>66</v>
      </c>
      <c r="S7" s="4" t="s">
        <v>0</v>
      </c>
      <c r="T7" s="4" t="s">
        <v>67</v>
      </c>
      <c r="U7" s="4" t="s">
        <v>68</v>
      </c>
      <c r="V7" s="4" t="s">
        <v>55</v>
      </c>
      <c r="W7" s="4" t="s">
        <v>69</v>
      </c>
      <c r="X7" s="4" t="s">
        <v>55</v>
      </c>
      <c r="Y7" t="str">
        <f t="shared" si="0"/>
        <v>Yes</v>
      </c>
      <c r="Z7" s="4" t="s">
        <v>69</v>
      </c>
      <c r="AT7" s="4" t="s">
        <v>51</v>
      </c>
      <c r="AU7" s="4" t="s">
        <v>52</v>
      </c>
      <c r="AV7" s="4" t="s">
        <v>59</v>
      </c>
      <c r="AW7" s="4" t="s">
        <v>58</v>
      </c>
      <c r="AX7" s="4" t="str">
        <f t="shared" si="1"/>
        <v>No</v>
      </c>
      <c r="AY7">
        <f>COUNTIFS([1]Sheet1!$K:$K, B7, [1]Sheet1!$N:$N, "No")</f>
        <v>2</v>
      </c>
      <c r="AZ7">
        <f>COUNTIFS([1]Sheet1!$K:$K, B7, [1]Sheet1!$O:$O, "Yes")</f>
        <v>1</v>
      </c>
    </row>
    <row r="8" spans="1:52" x14ac:dyDescent="0.35">
      <c r="A8" s="2" t="s">
        <v>77</v>
      </c>
      <c r="B8" s="3" t="s">
        <v>78</v>
      </c>
      <c r="C8" s="4" t="s">
        <v>58</v>
      </c>
      <c r="G8" s="4" t="s">
        <v>78</v>
      </c>
      <c r="I8" s="4" t="s">
        <v>60</v>
      </c>
      <c r="J8" s="4" t="s">
        <v>55</v>
      </c>
      <c r="K8" s="4" t="s">
        <v>55</v>
      </c>
      <c r="S8" s="4" t="s">
        <v>0</v>
      </c>
      <c r="T8" s="4" t="s">
        <v>67</v>
      </c>
      <c r="W8" s="4" t="s">
        <v>69</v>
      </c>
      <c r="Y8" t="str">
        <f t="shared" si="0"/>
        <v/>
      </c>
      <c r="Z8" s="4" t="s">
        <v>69</v>
      </c>
      <c r="AC8" s="4" t="s">
        <v>51</v>
      </c>
      <c r="AE8" s="4" t="s">
        <v>55</v>
      </c>
      <c r="AF8" s="4" t="s">
        <v>55</v>
      </c>
      <c r="AT8" s="4" t="s">
        <v>51</v>
      </c>
      <c r="AU8" s="4" t="s">
        <v>52</v>
      </c>
      <c r="AV8" s="4" t="s">
        <v>59</v>
      </c>
      <c r="AW8" s="4" t="s">
        <v>58</v>
      </c>
      <c r="AX8" s="4" t="str">
        <f t="shared" si="1"/>
        <v>No</v>
      </c>
      <c r="AY8">
        <f>COUNTIFS([1]Sheet1!$K:$K, B8, [1]Sheet1!$N:$N, "No")</f>
        <v>1</v>
      </c>
      <c r="AZ8">
        <f>COUNTIFS([1]Sheet1!$K:$K, B8, [1]Sheet1!$O:$O, "Yes")</f>
        <v>0</v>
      </c>
    </row>
    <row r="9" spans="1:52" x14ac:dyDescent="0.35">
      <c r="A9" s="2" t="s">
        <v>79</v>
      </c>
      <c r="B9" s="3" t="s">
        <v>80</v>
      </c>
      <c r="C9" s="4" t="s">
        <v>63</v>
      </c>
      <c r="D9" s="4" t="s">
        <v>64</v>
      </c>
      <c r="G9" s="4" t="s">
        <v>80</v>
      </c>
      <c r="R9" s="4" t="s">
        <v>66</v>
      </c>
      <c r="Y9" t="str">
        <f t="shared" si="0"/>
        <v/>
      </c>
      <c r="AG9" s="4" t="s">
        <v>81</v>
      </c>
      <c r="AT9" s="4" t="s">
        <v>51</v>
      </c>
      <c r="AU9" s="4" t="s">
        <v>52</v>
      </c>
      <c r="AV9" s="4" t="s">
        <v>78</v>
      </c>
      <c r="AW9" s="4" t="s">
        <v>58</v>
      </c>
      <c r="AX9" s="4" t="str">
        <f t="shared" si="1"/>
        <v>No</v>
      </c>
      <c r="AY9">
        <f>COUNTIFS([1]Sheet1!$K:$K, B9, [1]Sheet1!$N:$N, "No")</f>
        <v>1</v>
      </c>
      <c r="AZ9">
        <f>COUNTIFS([1]Sheet1!$K:$K, B9, [1]Sheet1!$O:$O, "Yes")</f>
        <v>0</v>
      </c>
    </row>
    <row r="10" spans="1:52" x14ac:dyDescent="0.35">
      <c r="A10" s="2" t="s">
        <v>79</v>
      </c>
      <c r="B10" s="3" t="s">
        <v>82</v>
      </c>
      <c r="C10" s="4" t="s">
        <v>71</v>
      </c>
      <c r="D10" s="4" t="s">
        <v>72</v>
      </c>
      <c r="G10" s="4" t="s">
        <v>82</v>
      </c>
      <c r="R10" s="4" t="s">
        <v>66</v>
      </c>
      <c r="Y10" t="str">
        <f t="shared" si="0"/>
        <v/>
      </c>
      <c r="AG10" s="4" t="s">
        <v>81</v>
      </c>
      <c r="AT10" s="4" t="s">
        <v>51</v>
      </c>
      <c r="AU10" s="4" t="s">
        <v>52</v>
      </c>
      <c r="AV10" s="4" t="s">
        <v>78</v>
      </c>
      <c r="AW10" s="4" t="s">
        <v>58</v>
      </c>
      <c r="AX10" s="4" t="str">
        <f t="shared" si="1"/>
        <v>No</v>
      </c>
      <c r="AY10">
        <f>COUNTIFS([1]Sheet1!$K:$K, B10, [1]Sheet1!$N:$N, "No")</f>
        <v>1</v>
      </c>
      <c r="AZ10">
        <f>COUNTIFS([1]Sheet1!$K:$K, B10, [1]Sheet1!$O:$O, "Yes")</f>
        <v>0</v>
      </c>
    </row>
    <row r="11" spans="1:52" x14ac:dyDescent="0.35">
      <c r="A11" s="2" t="s">
        <v>79</v>
      </c>
      <c r="B11" s="3" t="s">
        <v>83</v>
      </c>
      <c r="C11" s="4" t="s">
        <v>74</v>
      </c>
      <c r="D11" s="4" t="s">
        <v>72</v>
      </c>
      <c r="G11" s="4" t="s">
        <v>83</v>
      </c>
      <c r="R11" s="4" t="s">
        <v>66</v>
      </c>
      <c r="Y11" t="str">
        <f t="shared" si="0"/>
        <v/>
      </c>
      <c r="AG11" s="4" t="s">
        <v>81</v>
      </c>
      <c r="AT11" s="4" t="s">
        <v>51</v>
      </c>
      <c r="AU11" s="4" t="s">
        <v>52</v>
      </c>
      <c r="AV11" s="4" t="s">
        <v>78</v>
      </c>
      <c r="AW11" s="4" t="s">
        <v>58</v>
      </c>
      <c r="AX11" s="4" t="str">
        <f t="shared" si="1"/>
        <v>No</v>
      </c>
      <c r="AY11">
        <f>COUNTIFS([1]Sheet1!$K:$K, B11, [1]Sheet1!$N:$N, "No")</f>
        <v>1</v>
      </c>
      <c r="AZ11">
        <f>COUNTIFS([1]Sheet1!$K:$K, B11, [1]Sheet1!$O:$O, "Yes")</f>
        <v>0</v>
      </c>
    </row>
    <row r="12" spans="1:52" x14ac:dyDescent="0.35">
      <c r="A12" s="2" t="s">
        <v>79</v>
      </c>
      <c r="B12" s="3" t="s">
        <v>84</v>
      </c>
      <c r="C12" s="4" t="s">
        <v>76</v>
      </c>
      <c r="D12" s="4" t="s">
        <v>72</v>
      </c>
      <c r="G12" s="4" t="s">
        <v>84</v>
      </c>
      <c r="R12" s="4" t="s">
        <v>66</v>
      </c>
      <c r="Y12" t="str">
        <f t="shared" si="0"/>
        <v/>
      </c>
      <c r="AG12" s="4" t="s">
        <v>81</v>
      </c>
      <c r="AT12" s="4" t="s">
        <v>51</v>
      </c>
      <c r="AU12" s="4" t="s">
        <v>52</v>
      </c>
      <c r="AV12" s="4" t="s">
        <v>78</v>
      </c>
      <c r="AW12" s="4" t="s">
        <v>58</v>
      </c>
      <c r="AX12" s="4" t="str">
        <f t="shared" si="1"/>
        <v>No</v>
      </c>
      <c r="AY12">
        <f>COUNTIFS([1]Sheet1!$K:$K, B12, [1]Sheet1!$N:$N, "No")</f>
        <v>1</v>
      </c>
      <c r="AZ12">
        <f>COUNTIFS([1]Sheet1!$K:$K, B12, [1]Sheet1!$O:$O, "Yes")</f>
        <v>0</v>
      </c>
    </row>
    <row r="13" spans="1:52" x14ac:dyDescent="0.35">
      <c r="A13" s="2" t="s">
        <v>56</v>
      </c>
      <c r="B13" s="3" t="s">
        <v>85</v>
      </c>
      <c r="C13" s="4" t="s">
        <v>86</v>
      </c>
      <c r="G13" s="4" t="s">
        <v>87</v>
      </c>
      <c r="I13" s="4" t="s">
        <v>60</v>
      </c>
      <c r="J13" s="4" t="s">
        <v>55</v>
      </c>
      <c r="K13" s="4" t="s">
        <v>55</v>
      </c>
      <c r="L13" s="4" t="s">
        <v>55</v>
      </c>
      <c r="M13" s="4" t="s">
        <v>55</v>
      </c>
      <c r="N13" s="4" t="s">
        <v>55</v>
      </c>
      <c r="Y13" t="str">
        <f t="shared" si="0"/>
        <v/>
      </c>
      <c r="AT13" s="4" t="s">
        <v>51</v>
      </c>
      <c r="AU13" s="4" t="s">
        <v>52</v>
      </c>
      <c r="AV13" s="4" t="s">
        <v>54</v>
      </c>
      <c r="AW13" s="4" t="s">
        <v>52</v>
      </c>
      <c r="AX13" s="4" t="str">
        <f t="shared" si="1"/>
        <v>No</v>
      </c>
      <c r="AY13">
        <f>COUNTIFS([1]Sheet1!$K:$K, B13, [1]Sheet1!$N:$N, "No")</f>
        <v>1</v>
      </c>
      <c r="AZ13">
        <f>COUNTIFS([1]Sheet1!$K:$K, B13, [1]Sheet1!$O:$O, "Yes")</f>
        <v>0</v>
      </c>
    </row>
    <row r="14" spans="1:52" x14ac:dyDescent="0.35">
      <c r="A14" s="2" t="s">
        <v>61</v>
      </c>
      <c r="B14" s="3" t="s">
        <v>88</v>
      </c>
      <c r="C14" s="4" t="s">
        <v>89</v>
      </c>
      <c r="D14" s="4" t="s">
        <v>64</v>
      </c>
      <c r="G14" s="4" t="s">
        <v>88</v>
      </c>
      <c r="I14" s="4" t="s">
        <v>65</v>
      </c>
      <c r="J14" s="4" t="s">
        <v>55</v>
      </c>
      <c r="R14" s="4" t="s">
        <v>66</v>
      </c>
      <c r="T14" s="4" t="s">
        <v>67</v>
      </c>
      <c r="U14" s="4" t="s">
        <v>68</v>
      </c>
      <c r="V14" s="4" t="s">
        <v>55</v>
      </c>
      <c r="W14" s="4" t="s">
        <v>69</v>
      </c>
      <c r="X14" s="4" t="s">
        <v>55</v>
      </c>
      <c r="Y14" t="str">
        <f t="shared" si="0"/>
        <v>Yes</v>
      </c>
      <c r="Z14" s="4" t="s">
        <v>69</v>
      </c>
      <c r="AT14" s="4" t="s">
        <v>51</v>
      </c>
      <c r="AU14" s="4" t="s">
        <v>52</v>
      </c>
      <c r="AV14" s="4" t="s">
        <v>87</v>
      </c>
      <c r="AW14" s="4" t="s">
        <v>86</v>
      </c>
      <c r="AX14" s="4" t="str">
        <f t="shared" si="1"/>
        <v>No</v>
      </c>
      <c r="AY14">
        <f>COUNTIFS([1]Sheet1!$K:$K, B14, [1]Sheet1!$N:$N, "No")</f>
        <v>1</v>
      </c>
      <c r="AZ14">
        <f>COUNTIFS([1]Sheet1!$K:$K, B14, [1]Sheet1!$O:$O, "Yes")</f>
        <v>1</v>
      </c>
    </row>
    <row r="15" spans="1:52" x14ac:dyDescent="0.35">
      <c r="A15" s="2" t="s">
        <v>77</v>
      </c>
      <c r="B15" s="3" t="s">
        <v>90</v>
      </c>
      <c r="C15" s="4" t="s">
        <v>86</v>
      </c>
      <c r="G15" s="4" t="s">
        <v>90</v>
      </c>
      <c r="I15" s="4" t="s">
        <v>60</v>
      </c>
      <c r="J15" s="4" t="s">
        <v>55</v>
      </c>
      <c r="K15" s="4" t="s">
        <v>55</v>
      </c>
      <c r="S15" s="4" t="s">
        <v>0</v>
      </c>
      <c r="T15" s="4" t="s">
        <v>67</v>
      </c>
      <c r="W15" s="4" t="s">
        <v>69</v>
      </c>
      <c r="Y15" t="str">
        <f t="shared" si="0"/>
        <v/>
      </c>
      <c r="Z15" s="4" t="s">
        <v>69</v>
      </c>
      <c r="AC15" s="4" t="s">
        <v>51</v>
      </c>
      <c r="AE15" s="4" t="s">
        <v>55</v>
      </c>
      <c r="AF15" s="4" t="s">
        <v>55</v>
      </c>
      <c r="AT15" s="4" t="s">
        <v>51</v>
      </c>
      <c r="AU15" s="4" t="s">
        <v>52</v>
      </c>
      <c r="AV15" s="4" t="s">
        <v>87</v>
      </c>
      <c r="AW15" s="4" t="s">
        <v>86</v>
      </c>
      <c r="AX15" s="4" t="str">
        <f t="shared" si="1"/>
        <v>No</v>
      </c>
      <c r="AY15">
        <f>COUNTIFS([1]Sheet1!$K:$K, B15, [1]Sheet1!$N:$N, "No")</f>
        <v>1</v>
      </c>
      <c r="AZ15">
        <f>COUNTIFS([1]Sheet1!$K:$K, B15, [1]Sheet1!$O:$O, "Yes")</f>
        <v>0</v>
      </c>
    </row>
    <row r="16" spans="1:52" x14ac:dyDescent="0.35">
      <c r="A16" s="2" t="s">
        <v>79</v>
      </c>
      <c r="B16" s="3" t="s">
        <v>91</v>
      </c>
      <c r="C16" s="4" t="s">
        <v>89</v>
      </c>
      <c r="D16" s="4" t="s">
        <v>64</v>
      </c>
      <c r="G16" s="4" t="s">
        <v>91</v>
      </c>
      <c r="R16" s="4" t="s">
        <v>66</v>
      </c>
      <c r="Y16" t="str">
        <f t="shared" si="0"/>
        <v/>
      </c>
      <c r="AG16" s="4" t="s">
        <v>81</v>
      </c>
      <c r="AT16" s="4" t="s">
        <v>51</v>
      </c>
      <c r="AU16" s="4" t="s">
        <v>52</v>
      </c>
      <c r="AV16" s="4" t="s">
        <v>90</v>
      </c>
      <c r="AW16" s="4" t="s">
        <v>86</v>
      </c>
      <c r="AX16" s="4" t="str">
        <f t="shared" si="1"/>
        <v>No</v>
      </c>
      <c r="AY16">
        <f>COUNTIFS([1]Sheet1!$K:$K, B16, [1]Sheet1!$N:$N, "No")</f>
        <v>1</v>
      </c>
      <c r="AZ16">
        <f>COUNTIFS([1]Sheet1!$K:$K, B16, [1]Sheet1!$O:$O, "Yes")</f>
        <v>0</v>
      </c>
    </row>
    <row r="17" spans="1:52" x14ac:dyDescent="0.35">
      <c r="A17" s="2" t="s">
        <v>79</v>
      </c>
      <c r="B17" s="3" t="s">
        <v>92</v>
      </c>
      <c r="C17" s="4" t="s">
        <v>93</v>
      </c>
      <c r="D17" s="4" t="s">
        <v>94</v>
      </c>
      <c r="G17" s="4" t="s">
        <v>92</v>
      </c>
      <c r="R17" s="4" t="s">
        <v>66</v>
      </c>
      <c r="Y17" t="str">
        <f t="shared" si="0"/>
        <v/>
      </c>
      <c r="AG17" s="4" t="s">
        <v>81</v>
      </c>
      <c r="AT17" s="4" t="s">
        <v>51</v>
      </c>
      <c r="AU17" s="4" t="s">
        <v>52</v>
      </c>
      <c r="AV17" s="4" t="s">
        <v>90</v>
      </c>
      <c r="AW17" s="4" t="s">
        <v>86</v>
      </c>
      <c r="AX17" s="4" t="str">
        <f t="shared" si="1"/>
        <v>No</v>
      </c>
      <c r="AY17">
        <f>COUNTIFS([1]Sheet1!$K:$K, B17, [1]Sheet1!$N:$N, "No")</f>
        <v>1</v>
      </c>
      <c r="AZ17">
        <f>COUNTIFS([1]Sheet1!$K:$K, B17, [1]Sheet1!$O:$O, "Yes")</f>
        <v>0</v>
      </c>
    </row>
    <row r="18" spans="1:52" x14ac:dyDescent="0.35">
      <c r="A18" s="2" t="s">
        <v>77</v>
      </c>
      <c r="B18" s="3" t="s">
        <v>95</v>
      </c>
      <c r="C18" s="4" t="s">
        <v>96</v>
      </c>
      <c r="G18" s="4" t="s">
        <v>95</v>
      </c>
      <c r="I18" s="4" t="s">
        <v>60</v>
      </c>
      <c r="J18" s="4" t="s">
        <v>55</v>
      </c>
      <c r="K18" s="4" t="s">
        <v>55</v>
      </c>
      <c r="T18" s="4" t="s">
        <v>67</v>
      </c>
      <c r="W18" s="4" t="s">
        <v>69</v>
      </c>
      <c r="Y18" t="str">
        <f t="shared" si="0"/>
        <v/>
      </c>
      <c r="Z18" s="4" t="s">
        <v>69</v>
      </c>
      <c r="AA18" s="4" t="s">
        <v>94</v>
      </c>
      <c r="AC18" s="4" t="s">
        <v>51</v>
      </c>
      <c r="AE18" s="4" t="s">
        <v>55</v>
      </c>
      <c r="AF18" s="4" t="s">
        <v>55</v>
      </c>
      <c r="AT18" s="4" t="s">
        <v>51</v>
      </c>
      <c r="AU18" s="4" t="s">
        <v>52</v>
      </c>
      <c r="AV18" s="4" t="s">
        <v>87</v>
      </c>
      <c r="AW18" s="4" t="s">
        <v>86</v>
      </c>
      <c r="AX18" s="4" t="str">
        <f t="shared" si="1"/>
        <v>No</v>
      </c>
      <c r="AY18">
        <f>COUNTIFS([1]Sheet1!$K:$K, B18, [1]Sheet1!$N:$N, "No")</f>
        <v>1</v>
      </c>
      <c r="AZ18">
        <f>COUNTIFS([1]Sheet1!$K:$K, B18, [1]Sheet1!$O:$O, "Yes")</f>
        <v>0</v>
      </c>
    </row>
    <row r="19" spans="1:52" x14ac:dyDescent="0.35">
      <c r="A19" s="2" t="s">
        <v>56</v>
      </c>
      <c r="B19" s="3" t="s">
        <v>97</v>
      </c>
      <c r="C19" s="4" t="s">
        <v>98</v>
      </c>
      <c r="G19" s="4" t="s">
        <v>99</v>
      </c>
      <c r="I19" s="4" t="s">
        <v>60</v>
      </c>
      <c r="J19" s="4" t="s">
        <v>55</v>
      </c>
      <c r="K19" s="4" t="s">
        <v>55</v>
      </c>
      <c r="L19" s="4" t="s">
        <v>55</v>
      </c>
      <c r="M19" s="4" t="s">
        <v>55</v>
      </c>
      <c r="N19" s="4" t="s">
        <v>55</v>
      </c>
      <c r="Y19" t="str">
        <f t="shared" si="0"/>
        <v/>
      </c>
      <c r="AT19" s="4" t="s">
        <v>51</v>
      </c>
      <c r="AU19" s="4" t="s">
        <v>52</v>
      </c>
      <c r="AV19" s="4" t="s">
        <v>54</v>
      </c>
      <c r="AW19" s="4" t="s">
        <v>52</v>
      </c>
      <c r="AX19" s="4" t="str">
        <f t="shared" si="1"/>
        <v>No</v>
      </c>
      <c r="AY19">
        <f>COUNTIFS([1]Sheet1!$K:$K, B19, [1]Sheet1!$N:$N, "No")</f>
        <v>1</v>
      </c>
      <c r="AZ19">
        <f>COUNTIFS([1]Sheet1!$K:$K, B19, [1]Sheet1!$O:$O, "Yes")</f>
        <v>0</v>
      </c>
    </row>
    <row r="20" spans="1:52" x14ac:dyDescent="0.35">
      <c r="A20" s="2" t="s">
        <v>77</v>
      </c>
      <c r="B20" s="3" t="s">
        <v>100</v>
      </c>
      <c r="C20" s="4" t="s">
        <v>98</v>
      </c>
      <c r="G20" s="4" t="s">
        <v>100</v>
      </c>
      <c r="I20" s="4" t="s">
        <v>60</v>
      </c>
      <c r="J20" s="4" t="s">
        <v>55</v>
      </c>
      <c r="K20" s="4" t="s">
        <v>55</v>
      </c>
      <c r="S20" s="4" t="s">
        <v>0</v>
      </c>
      <c r="T20" s="4" t="s">
        <v>67</v>
      </c>
      <c r="W20" s="4" t="s">
        <v>69</v>
      </c>
      <c r="Y20" t="str">
        <f t="shared" si="0"/>
        <v/>
      </c>
      <c r="Z20" s="4" t="s">
        <v>69</v>
      </c>
      <c r="AC20" s="4" t="s">
        <v>51</v>
      </c>
      <c r="AE20" s="4" t="s">
        <v>55</v>
      </c>
      <c r="AF20" s="4" t="s">
        <v>55</v>
      </c>
      <c r="AT20" s="4" t="s">
        <v>51</v>
      </c>
      <c r="AU20" s="4" t="s">
        <v>52</v>
      </c>
      <c r="AV20" s="4" t="s">
        <v>99</v>
      </c>
      <c r="AW20" s="4" t="s">
        <v>98</v>
      </c>
      <c r="AX20" s="4" t="str">
        <f t="shared" si="1"/>
        <v>No</v>
      </c>
      <c r="AY20">
        <f>COUNTIFS([1]Sheet1!$K:$K, B20, [1]Sheet1!$N:$N, "No")</f>
        <v>1</v>
      </c>
      <c r="AZ20">
        <f>COUNTIFS([1]Sheet1!$K:$K, B20, [1]Sheet1!$O:$O, "Yes")</f>
        <v>0</v>
      </c>
    </row>
    <row r="21" spans="1:52" x14ac:dyDescent="0.35">
      <c r="A21" s="2" t="s">
        <v>77</v>
      </c>
      <c r="B21" s="3" t="s">
        <v>101</v>
      </c>
      <c r="C21" s="4" t="s">
        <v>102</v>
      </c>
      <c r="G21" s="4" t="s">
        <v>101</v>
      </c>
      <c r="I21" s="4" t="s">
        <v>60</v>
      </c>
      <c r="J21" s="4" t="s">
        <v>55</v>
      </c>
      <c r="K21" s="4" t="s">
        <v>55</v>
      </c>
      <c r="S21" s="4" t="s">
        <v>0</v>
      </c>
      <c r="T21" s="4" t="s">
        <v>67</v>
      </c>
      <c r="W21" s="4" t="s">
        <v>69</v>
      </c>
      <c r="Y21" t="str">
        <f t="shared" si="0"/>
        <v/>
      </c>
      <c r="Z21" s="4" t="s">
        <v>69</v>
      </c>
      <c r="AA21" s="4" t="s">
        <v>103</v>
      </c>
      <c r="AC21" s="4" t="s">
        <v>51</v>
      </c>
      <c r="AE21" s="4" t="s">
        <v>55</v>
      </c>
      <c r="AF21" s="4" t="s">
        <v>55</v>
      </c>
      <c r="AT21" s="4" t="s">
        <v>51</v>
      </c>
      <c r="AU21" s="4" t="s">
        <v>52</v>
      </c>
      <c r="AV21" s="4" t="s">
        <v>99</v>
      </c>
      <c r="AW21" s="4" t="s">
        <v>98</v>
      </c>
      <c r="AX21" s="4" t="str">
        <f t="shared" si="1"/>
        <v>No</v>
      </c>
      <c r="AY21">
        <f>COUNTIFS([1]Sheet1!$K:$K, B21, [1]Sheet1!$N:$N, "No")</f>
        <v>1</v>
      </c>
      <c r="AZ21">
        <f>COUNTIFS([1]Sheet1!$K:$K, B21, [1]Sheet1!$O:$O, "Yes")</f>
        <v>0</v>
      </c>
    </row>
    <row r="22" spans="1:52" x14ac:dyDescent="0.35">
      <c r="A22" s="2" t="s">
        <v>79</v>
      </c>
      <c r="B22" s="3" t="s">
        <v>104</v>
      </c>
      <c r="C22" s="4" t="s">
        <v>105</v>
      </c>
      <c r="D22" s="4" t="s">
        <v>106</v>
      </c>
      <c r="G22" s="4" t="s">
        <v>104</v>
      </c>
      <c r="R22" s="4" t="s">
        <v>66</v>
      </c>
      <c r="S22" s="4" t="s">
        <v>0</v>
      </c>
      <c r="Y22" t="str">
        <f t="shared" si="0"/>
        <v/>
      </c>
      <c r="AG22" s="4" t="s">
        <v>81</v>
      </c>
      <c r="AT22" s="4" t="s">
        <v>51</v>
      </c>
      <c r="AU22" s="4" t="s">
        <v>52</v>
      </c>
      <c r="AV22" s="4" t="s">
        <v>101</v>
      </c>
      <c r="AW22" s="4" t="s">
        <v>102</v>
      </c>
      <c r="AX22" s="4" t="str">
        <f t="shared" si="1"/>
        <v>No</v>
      </c>
      <c r="AY22">
        <f>COUNTIFS([1]Sheet1!$K:$K, B22, [1]Sheet1!$N:$N, "No")</f>
        <v>1</v>
      </c>
      <c r="AZ22">
        <f>COUNTIFS([1]Sheet1!$K:$K, B22, [1]Sheet1!$O:$O, "Yes")</f>
        <v>0</v>
      </c>
    </row>
    <row r="23" spans="1:52" x14ac:dyDescent="0.35">
      <c r="A23" s="2" t="s">
        <v>77</v>
      </c>
      <c r="B23" s="3" t="s">
        <v>107</v>
      </c>
      <c r="C23" s="4" t="s">
        <v>108</v>
      </c>
      <c r="G23" s="4" t="s">
        <v>107</v>
      </c>
      <c r="I23" s="4" t="s">
        <v>60</v>
      </c>
      <c r="J23" s="4" t="s">
        <v>55</v>
      </c>
      <c r="K23" s="4" t="s">
        <v>55</v>
      </c>
      <c r="S23" s="4" t="s">
        <v>0</v>
      </c>
      <c r="T23" s="4" t="s">
        <v>67</v>
      </c>
      <c r="W23" s="4" t="s">
        <v>69</v>
      </c>
      <c r="Y23" t="str">
        <f t="shared" si="0"/>
        <v/>
      </c>
      <c r="Z23" s="4" t="s">
        <v>69</v>
      </c>
      <c r="AA23" s="4" t="s">
        <v>109</v>
      </c>
      <c r="AE23" s="4" t="s">
        <v>55</v>
      </c>
      <c r="AF23" s="4" t="s">
        <v>55</v>
      </c>
      <c r="AT23" s="4" t="s">
        <v>51</v>
      </c>
      <c r="AU23" s="4" t="s">
        <v>52</v>
      </c>
      <c r="AV23" s="4" t="s">
        <v>99</v>
      </c>
      <c r="AW23" s="4" t="s">
        <v>98</v>
      </c>
      <c r="AX23" s="4" t="str">
        <f t="shared" si="1"/>
        <v>No</v>
      </c>
      <c r="AY23">
        <f>COUNTIFS([1]Sheet1!$K:$K, B23, [1]Sheet1!$N:$N, "No")</f>
        <v>1</v>
      </c>
      <c r="AZ23">
        <f>COUNTIFS([1]Sheet1!$K:$K, B23, [1]Sheet1!$O:$O, "Yes")</f>
        <v>0</v>
      </c>
    </row>
    <row r="24" spans="1:52" x14ac:dyDescent="0.35">
      <c r="A24" s="2" t="s">
        <v>77</v>
      </c>
      <c r="B24" s="3" t="s">
        <v>110</v>
      </c>
      <c r="C24" s="4" t="s">
        <v>111</v>
      </c>
      <c r="G24" s="4" t="s">
        <v>110</v>
      </c>
      <c r="I24" s="4" t="s">
        <v>60</v>
      </c>
      <c r="J24" s="4" t="s">
        <v>55</v>
      </c>
      <c r="K24" s="4" t="s">
        <v>55</v>
      </c>
      <c r="T24" s="4" t="s">
        <v>67</v>
      </c>
      <c r="W24" s="4" t="s">
        <v>69</v>
      </c>
      <c r="Y24" t="str">
        <f t="shared" si="0"/>
        <v/>
      </c>
      <c r="Z24" s="4" t="s">
        <v>69</v>
      </c>
      <c r="AA24" s="4" t="s">
        <v>106</v>
      </c>
      <c r="AC24" s="4" t="s">
        <v>51</v>
      </c>
      <c r="AE24" s="4" t="s">
        <v>55</v>
      </c>
      <c r="AF24" s="4" t="s">
        <v>55</v>
      </c>
      <c r="AT24" s="4" t="s">
        <v>51</v>
      </c>
      <c r="AU24" s="4" t="s">
        <v>52</v>
      </c>
      <c r="AV24" s="4" t="s">
        <v>99</v>
      </c>
      <c r="AW24" s="4" t="s">
        <v>98</v>
      </c>
      <c r="AX24" s="4" t="str">
        <f t="shared" si="1"/>
        <v>No</v>
      </c>
      <c r="AY24">
        <f>COUNTIFS([1]Sheet1!$K:$K, B24, [1]Sheet1!$N:$N, "No")</f>
        <v>1</v>
      </c>
      <c r="AZ24">
        <f>COUNTIFS([1]Sheet1!$K:$K, B24, [1]Sheet1!$O:$O, "Yes")</f>
        <v>0</v>
      </c>
    </row>
    <row r="25" spans="1:52" x14ac:dyDescent="0.35">
      <c r="A25" s="2" t="s">
        <v>79</v>
      </c>
      <c r="B25" s="3" t="s">
        <v>112</v>
      </c>
      <c r="C25" s="4" t="s">
        <v>89</v>
      </c>
      <c r="D25" s="4" t="s">
        <v>64</v>
      </c>
      <c r="G25" s="4" t="s">
        <v>112</v>
      </c>
      <c r="R25" s="4" t="s">
        <v>66</v>
      </c>
      <c r="Y25" t="str">
        <f t="shared" si="0"/>
        <v/>
      </c>
      <c r="AG25" s="4" t="s">
        <v>81</v>
      </c>
      <c r="AT25" s="4" t="s">
        <v>51</v>
      </c>
      <c r="AU25" s="4" t="s">
        <v>52</v>
      </c>
      <c r="AV25" s="4" t="s">
        <v>110</v>
      </c>
      <c r="AW25" s="4" t="s">
        <v>111</v>
      </c>
      <c r="AX25" s="4" t="str">
        <f t="shared" si="1"/>
        <v>No</v>
      </c>
      <c r="AY25">
        <f>COUNTIFS([1]Sheet1!$K:$K, B25, [1]Sheet1!$N:$N, "No")</f>
        <v>1</v>
      </c>
      <c r="AZ25">
        <f>COUNTIFS([1]Sheet1!$K:$K, B25, [1]Sheet1!$O:$O, "Yes")</f>
        <v>0</v>
      </c>
    </row>
    <row r="26" spans="1:52" x14ac:dyDescent="0.35">
      <c r="A26" s="2" t="s">
        <v>56</v>
      </c>
      <c r="B26" s="3" t="s">
        <v>113</v>
      </c>
      <c r="C26" s="4" t="s">
        <v>114</v>
      </c>
      <c r="G26" s="4" t="s">
        <v>115</v>
      </c>
      <c r="I26" s="4" t="s">
        <v>60</v>
      </c>
      <c r="J26" s="4" t="s">
        <v>55</v>
      </c>
      <c r="K26" s="4" t="s">
        <v>55</v>
      </c>
      <c r="L26" s="4" t="s">
        <v>55</v>
      </c>
      <c r="M26" s="4" t="s">
        <v>55</v>
      </c>
      <c r="N26" s="4" t="s">
        <v>55</v>
      </c>
      <c r="Y26" t="str">
        <f t="shared" si="0"/>
        <v/>
      </c>
      <c r="AT26" s="4" t="s">
        <v>51</v>
      </c>
      <c r="AU26" s="4" t="s">
        <v>52</v>
      </c>
      <c r="AV26" s="4" t="s">
        <v>54</v>
      </c>
      <c r="AW26" s="4" t="s">
        <v>52</v>
      </c>
      <c r="AX26" s="4" t="str">
        <f t="shared" si="1"/>
        <v>No</v>
      </c>
      <c r="AY26">
        <f>COUNTIFS([1]Sheet1!$K:$K, B26, [1]Sheet1!$N:$N, "No")</f>
        <v>1</v>
      </c>
      <c r="AZ26">
        <f>COUNTIFS([1]Sheet1!$K:$K, B26, [1]Sheet1!$O:$O, "Yes")</f>
        <v>0</v>
      </c>
    </row>
    <row r="27" spans="1:52" x14ac:dyDescent="0.35">
      <c r="A27" s="2" t="s">
        <v>77</v>
      </c>
      <c r="B27" s="3" t="s">
        <v>116</v>
      </c>
      <c r="C27" s="4" t="s">
        <v>114</v>
      </c>
      <c r="G27" s="4" t="s">
        <v>116</v>
      </c>
      <c r="I27" s="4" t="s">
        <v>60</v>
      </c>
      <c r="J27" s="4" t="s">
        <v>55</v>
      </c>
      <c r="K27" s="4" t="s">
        <v>55</v>
      </c>
      <c r="S27" s="4" t="s">
        <v>0</v>
      </c>
      <c r="T27" s="4" t="s">
        <v>67</v>
      </c>
      <c r="W27" s="4" t="s">
        <v>69</v>
      </c>
      <c r="Y27" t="str">
        <f t="shared" si="0"/>
        <v/>
      </c>
      <c r="Z27" s="4" t="s">
        <v>69</v>
      </c>
      <c r="AC27" s="4" t="s">
        <v>51</v>
      </c>
      <c r="AE27" s="4" t="s">
        <v>55</v>
      </c>
      <c r="AF27" s="4" t="s">
        <v>55</v>
      </c>
      <c r="AT27" s="4" t="s">
        <v>51</v>
      </c>
      <c r="AU27" s="4" t="s">
        <v>52</v>
      </c>
      <c r="AV27" s="4" t="s">
        <v>115</v>
      </c>
      <c r="AW27" s="4" t="s">
        <v>114</v>
      </c>
      <c r="AX27" s="4" t="str">
        <f t="shared" si="1"/>
        <v>No</v>
      </c>
      <c r="AY27">
        <f>COUNTIFS([1]Sheet1!$K:$K, B27, [1]Sheet1!$N:$N, "No")</f>
        <v>1</v>
      </c>
      <c r="AZ27">
        <f>COUNTIFS([1]Sheet1!$K:$K, B27, [1]Sheet1!$O:$O, "Yes")</f>
        <v>0</v>
      </c>
    </row>
    <row r="28" spans="1:52" x14ac:dyDescent="0.35">
      <c r="A28" s="2" t="s">
        <v>77</v>
      </c>
      <c r="B28" s="3" t="s">
        <v>117</v>
      </c>
      <c r="C28" s="4" t="s">
        <v>102</v>
      </c>
      <c r="G28" s="4" t="s">
        <v>117</v>
      </c>
      <c r="I28" s="4" t="s">
        <v>60</v>
      </c>
      <c r="J28" s="4" t="s">
        <v>55</v>
      </c>
      <c r="K28" s="4" t="s">
        <v>55</v>
      </c>
      <c r="S28" s="4" t="s">
        <v>0</v>
      </c>
      <c r="T28" s="4" t="s">
        <v>67</v>
      </c>
      <c r="W28" s="4" t="s">
        <v>69</v>
      </c>
      <c r="Y28" t="str">
        <f t="shared" si="0"/>
        <v/>
      </c>
      <c r="Z28" s="4" t="s">
        <v>69</v>
      </c>
      <c r="AA28" s="4" t="s">
        <v>118</v>
      </c>
      <c r="AC28" s="4" t="s">
        <v>51</v>
      </c>
      <c r="AE28" s="4" t="s">
        <v>55</v>
      </c>
      <c r="AF28" s="4" t="s">
        <v>55</v>
      </c>
      <c r="AT28" s="4" t="s">
        <v>51</v>
      </c>
      <c r="AU28" s="4" t="s">
        <v>52</v>
      </c>
      <c r="AV28" s="4" t="s">
        <v>115</v>
      </c>
      <c r="AW28" s="4" t="s">
        <v>114</v>
      </c>
      <c r="AX28" s="4" t="str">
        <f t="shared" si="1"/>
        <v>No</v>
      </c>
      <c r="AY28">
        <f>COUNTIFS([1]Sheet1!$K:$K, B28, [1]Sheet1!$N:$N, "No")</f>
        <v>1</v>
      </c>
      <c r="AZ28">
        <f>COUNTIFS([1]Sheet1!$K:$K, B28, [1]Sheet1!$O:$O, "Yes")</f>
        <v>0</v>
      </c>
    </row>
    <row r="29" spans="1:52" x14ac:dyDescent="0.35">
      <c r="A29" s="2" t="s">
        <v>79</v>
      </c>
      <c r="B29" s="3" t="s">
        <v>119</v>
      </c>
      <c r="C29" s="4" t="s">
        <v>93</v>
      </c>
      <c r="D29" s="4" t="s">
        <v>94</v>
      </c>
      <c r="G29" s="4" t="s">
        <v>119</v>
      </c>
      <c r="R29" s="4" t="s">
        <v>66</v>
      </c>
      <c r="S29" s="4" t="s">
        <v>0</v>
      </c>
      <c r="Y29" t="str">
        <f t="shared" si="0"/>
        <v/>
      </c>
      <c r="AG29" s="4" t="s">
        <v>81</v>
      </c>
      <c r="AT29" s="4" t="s">
        <v>51</v>
      </c>
      <c r="AU29" s="4" t="s">
        <v>52</v>
      </c>
      <c r="AV29" s="4" t="s">
        <v>117</v>
      </c>
      <c r="AW29" s="4" t="s">
        <v>102</v>
      </c>
      <c r="AX29" s="4" t="str">
        <f t="shared" si="1"/>
        <v>No</v>
      </c>
      <c r="AY29">
        <f>COUNTIFS([1]Sheet1!$K:$K, B29, [1]Sheet1!$N:$N, "No")</f>
        <v>1</v>
      </c>
      <c r="AZ29">
        <f>COUNTIFS([1]Sheet1!$K:$K, B29, [1]Sheet1!$O:$O, "Yes")</f>
        <v>0</v>
      </c>
    </row>
    <row r="30" spans="1:52" x14ac:dyDescent="0.35">
      <c r="A30" s="2" t="s">
        <v>77</v>
      </c>
      <c r="B30" s="3" t="s">
        <v>120</v>
      </c>
      <c r="C30" s="4" t="s">
        <v>121</v>
      </c>
      <c r="G30" s="4" t="s">
        <v>120</v>
      </c>
      <c r="I30" s="4" t="s">
        <v>60</v>
      </c>
      <c r="J30" s="4" t="s">
        <v>55</v>
      </c>
      <c r="K30" s="4" t="s">
        <v>55</v>
      </c>
      <c r="S30" s="4" t="s">
        <v>0</v>
      </c>
      <c r="T30" s="4" t="s">
        <v>67</v>
      </c>
      <c r="W30" s="4" t="s">
        <v>69</v>
      </c>
      <c r="Y30" t="str">
        <f t="shared" si="0"/>
        <v/>
      </c>
      <c r="Z30" s="4" t="s">
        <v>69</v>
      </c>
      <c r="AA30" s="4" t="s">
        <v>122</v>
      </c>
      <c r="AC30" s="4" t="s">
        <v>51</v>
      </c>
      <c r="AE30" s="4" t="s">
        <v>55</v>
      </c>
      <c r="AF30" s="4" t="s">
        <v>55</v>
      </c>
      <c r="AT30" s="4" t="s">
        <v>51</v>
      </c>
      <c r="AU30" s="4" t="s">
        <v>52</v>
      </c>
      <c r="AV30" s="4" t="s">
        <v>115</v>
      </c>
      <c r="AW30" s="4" t="s">
        <v>114</v>
      </c>
      <c r="AX30" s="4" t="str">
        <f t="shared" si="1"/>
        <v>No</v>
      </c>
      <c r="AY30">
        <f>COUNTIFS([1]Sheet1!$K:$K, B30, [1]Sheet1!$N:$N, "No")</f>
        <v>1</v>
      </c>
      <c r="AZ30">
        <f>COUNTIFS([1]Sheet1!$K:$K, B30, [1]Sheet1!$O:$O, "Yes")</f>
        <v>0</v>
      </c>
    </row>
    <row r="31" spans="1:52" x14ac:dyDescent="0.35">
      <c r="A31" s="2" t="s">
        <v>77</v>
      </c>
      <c r="B31" s="3" t="s">
        <v>123</v>
      </c>
      <c r="C31" s="4" t="s">
        <v>124</v>
      </c>
      <c r="G31" s="4" t="s">
        <v>123</v>
      </c>
      <c r="I31" s="4" t="s">
        <v>60</v>
      </c>
      <c r="J31" s="4" t="s">
        <v>55</v>
      </c>
      <c r="K31" s="4" t="s">
        <v>55</v>
      </c>
      <c r="S31" s="4" t="s">
        <v>0</v>
      </c>
      <c r="T31" s="4" t="s">
        <v>67</v>
      </c>
      <c r="W31" s="4" t="s">
        <v>69</v>
      </c>
      <c r="Y31" t="str">
        <f t="shared" si="0"/>
        <v/>
      </c>
      <c r="Z31" s="4" t="s">
        <v>69</v>
      </c>
      <c r="AA31" s="4" t="s">
        <v>94</v>
      </c>
      <c r="AC31" s="4" t="s">
        <v>51</v>
      </c>
      <c r="AE31" s="4" t="s">
        <v>55</v>
      </c>
      <c r="AF31" s="4" t="s">
        <v>55</v>
      </c>
      <c r="AT31" s="4" t="s">
        <v>51</v>
      </c>
      <c r="AU31" s="4" t="s">
        <v>52</v>
      </c>
      <c r="AV31" s="4" t="s">
        <v>115</v>
      </c>
      <c r="AW31" s="4" t="s">
        <v>114</v>
      </c>
      <c r="AX31" s="4" t="str">
        <f t="shared" si="1"/>
        <v>No</v>
      </c>
      <c r="AY31">
        <f>COUNTIFS([1]Sheet1!$K:$K, B31, [1]Sheet1!$N:$N, "No")</f>
        <v>1</v>
      </c>
      <c r="AZ31">
        <f>COUNTIFS([1]Sheet1!$K:$K, B31, [1]Sheet1!$O:$O, "Yes")</f>
        <v>0</v>
      </c>
    </row>
    <row r="32" spans="1:52" x14ac:dyDescent="0.35">
      <c r="A32" s="2" t="s">
        <v>79</v>
      </c>
      <c r="B32" s="3" t="s">
        <v>125</v>
      </c>
      <c r="C32" s="4" t="s">
        <v>63</v>
      </c>
      <c r="D32" s="4" t="s">
        <v>64</v>
      </c>
      <c r="G32" s="4" t="s">
        <v>125</v>
      </c>
      <c r="R32" s="4" t="s">
        <v>66</v>
      </c>
      <c r="S32" s="4" t="s">
        <v>0</v>
      </c>
      <c r="Y32" t="str">
        <f t="shared" si="0"/>
        <v/>
      </c>
      <c r="AG32" s="4" t="s">
        <v>81</v>
      </c>
      <c r="AT32" s="4" t="s">
        <v>51</v>
      </c>
      <c r="AU32" s="4" t="s">
        <v>52</v>
      </c>
      <c r="AV32" s="4" t="s">
        <v>123</v>
      </c>
      <c r="AW32" s="4" t="s">
        <v>124</v>
      </c>
      <c r="AX32" s="4" t="str">
        <f t="shared" si="1"/>
        <v>No</v>
      </c>
      <c r="AY32">
        <f>COUNTIFS([1]Sheet1!$K:$K, B32, [1]Sheet1!$N:$N, "No")</f>
        <v>1</v>
      </c>
      <c r="AZ32">
        <f>COUNTIFS([1]Sheet1!$K:$K, B32, [1]Sheet1!$O:$O, "Yes")</f>
        <v>0</v>
      </c>
    </row>
    <row r="33" spans="1:52" x14ac:dyDescent="0.35">
      <c r="A33" s="2" t="s">
        <v>56</v>
      </c>
      <c r="B33" s="3" t="s">
        <v>126</v>
      </c>
      <c r="C33" s="4" t="s">
        <v>127</v>
      </c>
      <c r="G33" s="4" t="s">
        <v>128</v>
      </c>
      <c r="I33" s="4" t="s">
        <v>60</v>
      </c>
      <c r="J33" s="4" t="s">
        <v>55</v>
      </c>
      <c r="K33" s="4" t="s">
        <v>55</v>
      </c>
      <c r="L33" s="4" t="s">
        <v>55</v>
      </c>
      <c r="M33" s="4" t="s">
        <v>55</v>
      </c>
      <c r="N33" s="4" t="s">
        <v>55</v>
      </c>
      <c r="Y33" t="str">
        <f t="shared" si="0"/>
        <v/>
      </c>
      <c r="AT33" s="4" t="s">
        <v>51</v>
      </c>
      <c r="AU33" s="4" t="s">
        <v>52</v>
      </c>
      <c r="AV33" s="4" t="s">
        <v>54</v>
      </c>
      <c r="AW33" s="4" t="s">
        <v>52</v>
      </c>
      <c r="AX33" s="4" t="str">
        <f t="shared" si="1"/>
        <v>No</v>
      </c>
      <c r="AY33">
        <f>COUNTIFS([1]Sheet1!$K:$K, B33, [1]Sheet1!$N:$N, "No")</f>
        <v>1</v>
      </c>
      <c r="AZ33">
        <f>COUNTIFS([1]Sheet1!$K:$K, B33, [1]Sheet1!$O:$O, "Yes")</f>
        <v>0</v>
      </c>
    </row>
    <row r="34" spans="1:52" x14ac:dyDescent="0.35">
      <c r="A34" s="2" t="s">
        <v>77</v>
      </c>
      <c r="B34" s="3" t="s">
        <v>129</v>
      </c>
      <c r="C34" s="4" t="s">
        <v>127</v>
      </c>
      <c r="G34" s="4" t="s">
        <v>129</v>
      </c>
      <c r="I34" s="4" t="s">
        <v>60</v>
      </c>
      <c r="J34" s="4" t="s">
        <v>55</v>
      </c>
      <c r="K34" s="4" t="s">
        <v>55</v>
      </c>
      <c r="S34" s="4" t="s">
        <v>0</v>
      </c>
      <c r="T34" s="4" t="s">
        <v>67</v>
      </c>
      <c r="W34" s="4" t="s">
        <v>69</v>
      </c>
      <c r="Y34" t="str">
        <f t="shared" si="0"/>
        <v/>
      </c>
      <c r="Z34" s="4" t="s">
        <v>69</v>
      </c>
      <c r="AC34" s="4" t="s">
        <v>51</v>
      </c>
      <c r="AE34" s="4" t="s">
        <v>55</v>
      </c>
      <c r="AF34" s="4" t="s">
        <v>55</v>
      </c>
      <c r="AT34" s="4" t="s">
        <v>51</v>
      </c>
      <c r="AU34" s="4" t="s">
        <v>52</v>
      </c>
      <c r="AV34" s="4" t="s">
        <v>128</v>
      </c>
      <c r="AW34" s="4" t="s">
        <v>127</v>
      </c>
      <c r="AX34" s="4" t="str">
        <f t="shared" si="1"/>
        <v>No</v>
      </c>
      <c r="AY34">
        <f>COUNTIFS([1]Sheet1!$K:$K, B34, [1]Sheet1!$N:$N, "No")</f>
        <v>1</v>
      </c>
      <c r="AZ34">
        <f>COUNTIFS([1]Sheet1!$K:$K, B34, [1]Sheet1!$O:$O, "Yes")</f>
        <v>0</v>
      </c>
    </row>
    <row r="35" spans="1:52" x14ac:dyDescent="0.35">
      <c r="A35" s="2" t="s">
        <v>77</v>
      </c>
      <c r="B35" s="3" t="s">
        <v>130</v>
      </c>
      <c r="C35" s="4" t="s">
        <v>131</v>
      </c>
      <c r="G35" s="4" t="s">
        <v>130</v>
      </c>
      <c r="I35" s="4" t="s">
        <v>60</v>
      </c>
      <c r="J35" s="4" t="s">
        <v>55</v>
      </c>
      <c r="K35" s="4" t="s">
        <v>55</v>
      </c>
      <c r="S35" s="4" t="s">
        <v>0</v>
      </c>
      <c r="T35" s="4" t="s">
        <v>67</v>
      </c>
      <c r="W35" s="4" t="s">
        <v>69</v>
      </c>
      <c r="Y35" t="str">
        <f t="shared" si="0"/>
        <v/>
      </c>
      <c r="Z35" s="4" t="s">
        <v>69</v>
      </c>
      <c r="AA35" s="4" t="s">
        <v>118</v>
      </c>
      <c r="AC35" s="4" t="s">
        <v>51</v>
      </c>
      <c r="AE35" s="4" t="s">
        <v>55</v>
      </c>
      <c r="AF35" s="4" t="s">
        <v>55</v>
      </c>
      <c r="AT35" s="4" t="s">
        <v>51</v>
      </c>
      <c r="AU35" s="4" t="s">
        <v>52</v>
      </c>
      <c r="AV35" s="4" t="s">
        <v>128</v>
      </c>
      <c r="AW35" s="4" t="s">
        <v>127</v>
      </c>
      <c r="AX35" s="4" t="str">
        <f t="shared" si="1"/>
        <v>No</v>
      </c>
      <c r="AY35">
        <f>COUNTIFS([1]Sheet1!$K:$K, B35, [1]Sheet1!$N:$N, "No")</f>
        <v>1</v>
      </c>
      <c r="AZ35">
        <f>COUNTIFS([1]Sheet1!$K:$K, B35, [1]Sheet1!$O:$O, "Yes")</f>
        <v>0</v>
      </c>
    </row>
    <row r="36" spans="1:52" x14ac:dyDescent="0.35">
      <c r="A36" s="2" t="s">
        <v>79</v>
      </c>
      <c r="B36" s="3" t="s">
        <v>132</v>
      </c>
      <c r="C36" s="4" t="s">
        <v>63</v>
      </c>
      <c r="D36" s="4" t="s">
        <v>64</v>
      </c>
      <c r="G36" s="4" t="s">
        <v>132</v>
      </c>
      <c r="R36" s="4" t="s">
        <v>66</v>
      </c>
      <c r="S36" s="4" t="s">
        <v>0</v>
      </c>
      <c r="Y36" t="str">
        <f t="shared" si="0"/>
        <v/>
      </c>
      <c r="AG36" s="4" t="s">
        <v>81</v>
      </c>
      <c r="AT36" s="4" t="s">
        <v>51</v>
      </c>
      <c r="AU36" s="4" t="s">
        <v>52</v>
      </c>
      <c r="AV36" s="4" t="s">
        <v>130</v>
      </c>
      <c r="AW36" s="4" t="s">
        <v>131</v>
      </c>
      <c r="AX36" s="4" t="str">
        <f t="shared" si="1"/>
        <v>No</v>
      </c>
      <c r="AY36">
        <f>COUNTIFS([1]Sheet1!$K:$K, B36, [1]Sheet1!$N:$N, "No")</f>
        <v>1</v>
      </c>
      <c r="AZ36">
        <f>COUNTIFS([1]Sheet1!$K:$K, B36, [1]Sheet1!$O:$O, "Yes")</f>
        <v>0</v>
      </c>
    </row>
    <row r="37" spans="1:52" x14ac:dyDescent="0.35">
      <c r="A37" s="2" t="s">
        <v>79</v>
      </c>
      <c r="B37" s="3" t="s">
        <v>133</v>
      </c>
      <c r="C37" s="4" t="s">
        <v>71</v>
      </c>
      <c r="D37" s="4" t="s">
        <v>72</v>
      </c>
      <c r="G37" s="4" t="s">
        <v>133</v>
      </c>
      <c r="R37" s="4" t="s">
        <v>66</v>
      </c>
      <c r="S37" s="4" t="s">
        <v>0</v>
      </c>
      <c r="Y37" t="str">
        <f t="shared" si="0"/>
        <v/>
      </c>
      <c r="AG37" s="4" t="s">
        <v>81</v>
      </c>
      <c r="AT37" s="4" t="s">
        <v>51</v>
      </c>
      <c r="AU37" s="4" t="s">
        <v>52</v>
      </c>
      <c r="AV37" s="4" t="s">
        <v>130</v>
      </c>
      <c r="AW37" s="4" t="s">
        <v>131</v>
      </c>
      <c r="AX37" s="4" t="str">
        <f t="shared" si="1"/>
        <v>No</v>
      </c>
      <c r="AY37">
        <f>COUNTIFS([1]Sheet1!$K:$K, B37, [1]Sheet1!$N:$N, "No")</f>
        <v>1</v>
      </c>
      <c r="AZ37">
        <f>COUNTIFS([1]Sheet1!$K:$K, B37, [1]Sheet1!$O:$O, "Yes")</f>
        <v>0</v>
      </c>
    </row>
    <row r="38" spans="1:52" x14ac:dyDescent="0.35">
      <c r="A38" s="2" t="s">
        <v>79</v>
      </c>
      <c r="B38" s="3" t="s">
        <v>134</v>
      </c>
      <c r="C38" s="4" t="s">
        <v>74</v>
      </c>
      <c r="D38" s="4" t="s">
        <v>72</v>
      </c>
      <c r="G38" s="4" t="s">
        <v>134</v>
      </c>
      <c r="R38" s="4" t="s">
        <v>66</v>
      </c>
      <c r="S38" s="4" t="s">
        <v>0</v>
      </c>
      <c r="Y38" t="str">
        <f t="shared" si="0"/>
        <v/>
      </c>
      <c r="AG38" s="4" t="s">
        <v>81</v>
      </c>
      <c r="AT38" s="4" t="s">
        <v>51</v>
      </c>
      <c r="AU38" s="4" t="s">
        <v>52</v>
      </c>
      <c r="AV38" s="4" t="s">
        <v>130</v>
      </c>
      <c r="AW38" s="4" t="s">
        <v>131</v>
      </c>
      <c r="AX38" s="4" t="str">
        <f t="shared" si="1"/>
        <v>No</v>
      </c>
      <c r="AY38">
        <f>COUNTIFS([1]Sheet1!$K:$K, B38, [1]Sheet1!$N:$N, "No")</f>
        <v>1</v>
      </c>
      <c r="AZ38">
        <f>COUNTIFS([1]Sheet1!$K:$K, B38, [1]Sheet1!$O:$O, "Yes")</f>
        <v>0</v>
      </c>
    </row>
    <row r="39" spans="1:52" x14ac:dyDescent="0.35">
      <c r="A39" s="2" t="s">
        <v>79</v>
      </c>
      <c r="B39" s="3" t="s">
        <v>135</v>
      </c>
      <c r="C39" s="4" t="s">
        <v>76</v>
      </c>
      <c r="D39" s="4" t="s">
        <v>72</v>
      </c>
      <c r="G39" s="4" t="s">
        <v>135</v>
      </c>
      <c r="R39" s="4" t="s">
        <v>66</v>
      </c>
      <c r="S39" s="4" t="s">
        <v>0</v>
      </c>
      <c r="Y39" t="str">
        <f t="shared" si="0"/>
        <v/>
      </c>
      <c r="AG39" s="4" t="s">
        <v>81</v>
      </c>
      <c r="AT39" s="4" t="s">
        <v>51</v>
      </c>
      <c r="AU39" s="4" t="s">
        <v>52</v>
      </c>
      <c r="AV39" s="4" t="s">
        <v>130</v>
      </c>
      <c r="AW39" s="4" t="s">
        <v>131</v>
      </c>
      <c r="AX39" s="4" t="str">
        <f t="shared" si="1"/>
        <v>No</v>
      </c>
      <c r="AY39">
        <f>COUNTIFS([1]Sheet1!$K:$K, B39, [1]Sheet1!$N:$N, "No")</f>
        <v>1</v>
      </c>
      <c r="AZ39">
        <f>COUNTIFS([1]Sheet1!$K:$K, B39, [1]Sheet1!$O:$O, "Yes")</f>
        <v>0</v>
      </c>
    </row>
    <row r="40" spans="1:52" x14ac:dyDescent="0.35">
      <c r="A40" s="2" t="s">
        <v>77</v>
      </c>
      <c r="B40" s="3" t="s">
        <v>136</v>
      </c>
      <c r="C40" s="4" t="s">
        <v>137</v>
      </c>
      <c r="G40" s="4" t="s">
        <v>136</v>
      </c>
      <c r="I40" s="4" t="s">
        <v>60</v>
      </c>
      <c r="J40" s="4" t="s">
        <v>55</v>
      </c>
      <c r="K40" s="4" t="s">
        <v>55</v>
      </c>
      <c r="S40" s="4" t="s">
        <v>0</v>
      </c>
      <c r="T40" s="4" t="s">
        <v>67</v>
      </c>
      <c r="W40" s="4" t="s">
        <v>69</v>
      </c>
      <c r="Y40" t="str">
        <f t="shared" si="0"/>
        <v/>
      </c>
      <c r="Z40" s="4" t="s">
        <v>69</v>
      </c>
      <c r="AA40" s="4" t="s">
        <v>138</v>
      </c>
      <c r="AC40" s="4" t="s">
        <v>51</v>
      </c>
      <c r="AE40" s="4" t="s">
        <v>55</v>
      </c>
      <c r="AF40" s="4" t="s">
        <v>55</v>
      </c>
      <c r="AT40" s="4" t="s">
        <v>51</v>
      </c>
      <c r="AU40" s="4" t="s">
        <v>52</v>
      </c>
      <c r="AV40" s="4" t="s">
        <v>128</v>
      </c>
      <c r="AW40" s="4" t="s">
        <v>127</v>
      </c>
      <c r="AX40" s="4" t="str">
        <f t="shared" si="1"/>
        <v>No</v>
      </c>
      <c r="AY40">
        <f>COUNTIFS([1]Sheet1!$K:$K, B40, [1]Sheet1!$N:$N, "No")</f>
        <v>1</v>
      </c>
      <c r="AZ40">
        <f>COUNTIFS([1]Sheet1!$K:$K, B40, [1]Sheet1!$O:$O, "Yes")</f>
        <v>0</v>
      </c>
    </row>
    <row r="41" spans="1:52" x14ac:dyDescent="0.35">
      <c r="A41" s="2" t="s">
        <v>77</v>
      </c>
      <c r="B41" s="3" t="s">
        <v>139</v>
      </c>
      <c r="C41" s="4" t="s">
        <v>140</v>
      </c>
      <c r="G41" s="4" t="s">
        <v>139</v>
      </c>
      <c r="I41" s="4" t="s">
        <v>60</v>
      </c>
      <c r="J41" s="4" t="s">
        <v>55</v>
      </c>
      <c r="K41" s="4" t="s">
        <v>55</v>
      </c>
      <c r="T41" s="4" t="s">
        <v>67</v>
      </c>
      <c r="W41" s="4" t="s">
        <v>69</v>
      </c>
      <c r="Y41" t="str">
        <f t="shared" si="0"/>
        <v/>
      </c>
      <c r="Z41" s="4" t="s">
        <v>69</v>
      </c>
      <c r="AA41" s="4" t="s">
        <v>118</v>
      </c>
      <c r="AC41" s="4" t="s">
        <v>51</v>
      </c>
      <c r="AE41" s="4" t="s">
        <v>55</v>
      </c>
      <c r="AF41" s="4" t="s">
        <v>55</v>
      </c>
      <c r="AT41" s="4" t="s">
        <v>51</v>
      </c>
      <c r="AU41" s="4" t="s">
        <v>52</v>
      </c>
      <c r="AV41" s="4" t="s">
        <v>128</v>
      </c>
      <c r="AW41" s="4" t="s">
        <v>127</v>
      </c>
      <c r="AX41" s="4" t="str">
        <f t="shared" si="1"/>
        <v>No</v>
      </c>
      <c r="AY41">
        <f>COUNTIFS([1]Sheet1!$K:$K, B41, [1]Sheet1!$N:$N, "No")</f>
        <v>1</v>
      </c>
      <c r="AZ41">
        <f>COUNTIFS([1]Sheet1!$K:$K, B41, [1]Sheet1!$O:$O, "Yes")</f>
        <v>0</v>
      </c>
    </row>
    <row r="42" spans="1:52" x14ac:dyDescent="0.35">
      <c r="A42" s="2" t="s">
        <v>79</v>
      </c>
      <c r="B42" s="3" t="s">
        <v>141</v>
      </c>
      <c r="C42" s="4" t="s">
        <v>63</v>
      </c>
      <c r="D42" s="4" t="s">
        <v>64</v>
      </c>
      <c r="G42" s="4" t="s">
        <v>141</v>
      </c>
      <c r="R42" s="4" t="s">
        <v>66</v>
      </c>
      <c r="Y42" t="str">
        <f t="shared" si="0"/>
        <v/>
      </c>
      <c r="AG42" s="4" t="s">
        <v>81</v>
      </c>
      <c r="AT42" s="4" t="s">
        <v>51</v>
      </c>
      <c r="AU42" s="4" t="s">
        <v>52</v>
      </c>
      <c r="AV42" s="4" t="s">
        <v>139</v>
      </c>
      <c r="AW42" s="4" t="s">
        <v>140</v>
      </c>
      <c r="AX42" s="4" t="str">
        <f t="shared" si="1"/>
        <v>No</v>
      </c>
      <c r="AY42">
        <f>COUNTIFS([1]Sheet1!$K:$K, B42, [1]Sheet1!$N:$N, "No")</f>
        <v>1</v>
      </c>
      <c r="AZ42">
        <f>COUNTIFS([1]Sheet1!$K:$K, B42, [1]Sheet1!$O:$O, "Yes")</f>
        <v>0</v>
      </c>
    </row>
    <row r="43" spans="1:52" x14ac:dyDescent="0.35">
      <c r="A43" s="2" t="s">
        <v>77</v>
      </c>
      <c r="B43" s="3" t="s">
        <v>142</v>
      </c>
      <c r="C43" s="4" t="s">
        <v>143</v>
      </c>
      <c r="G43" s="4" t="s">
        <v>142</v>
      </c>
      <c r="I43" s="4" t="s">
        <v>60</v>
      </c>
      <c r="J43" s="4" t="s">
        <v>55</v>
      </c>
      <c r="K43" s="4" t="s">
        <v>55</v>
      </c>
      <c r="S43" s="4" t="s">
        <v>0</v>
      </c>
      <c r="T43" s="4" t="s">
        <v>67</v>
      </c>
      <c r="W43" s="4" t="s">
        <v>69</v>
      </c>
      <c r="Y43" t="str">
        <f t="shared" si="0"/>
        <v/>
      </c>
      <c r="Z43" s="4" t="s">
        <v>69</v>
      </c>
      <c r="AA43" s="4" t="s">
        <v>118</v>
      </c>
      <c r="AC43" s="4" t="s">
        <v>51</v>
      </c>
      <c r="AE43" s="4" t="s">
        <v>55</v>
      </c>
      <c r="AF43" s="4" t="s">
        <v>55</v>
      </c>
      <c r="AT43" s="4" t="s">
        <v>51</v>
      </c>
      <c r="AU43" s="4" t="s">
        <v>52</v>
      </c>
      <c r="AV43" s="4" t="s">
        <v>128</v>
      </c>
      <c r="AW43" s="4" t="s">
        <v>127</v>
      </c>
      <c r="AX43" s="4" t="str">
        <f t="shared" si="1"/>
        <v>No</v>
      </c>
      <c r="AY43">
        <f>COUNTIFS([1]Sheet1!$K:$K, B43, [1]Sheet1!$N:$N, "No")</f>
        <v>1</v>
      </c>
      <c r="AZ43">
        <f>COUNTIFS([1]Sheet1!$K:$K, B43, [1]Sheet1!$O:$O, "Yes")</f>
        <v>0</v>
      </c>
    </row>
    <row r="44" spans="1:52" x14ac:dyDescent="0.35">
      <c r="A44" s="2" t="s">
        <v>79</v>
      </c>
      <c r="B44" s="3" t="s">
        <v>144</v>
      </c>
      <c r="C44" s="4" t="s">
        <v>89</v>
      </c>
      <c r="D44" s="4" t="s">
        <v>64</v>
      </c>
      <c r="G44" s="4" t="s">
        <v>144</v>
      </c>
      <c r="R44" s="4" t="s">
        <v>66</v>
      </c>
      <c r="S44" s="4" t="s">
        <v>0</v>
      </c>
      <c r="Y44" t="str">
        <f t="shared" si="0"/>
        <v/>
      </c>
      <c r="AG44" s="4" t="s">
        <v>81</v>
      </c>
      <c r="AT44" s="4" t="s">
        <v>51</v>
      </c>
      <c r="AU44" s="4" t="s">
        <v>52</v>
      </c>
      <c r="AV44" s="4" t="s">
        <v>142</v>
      </c>
      <c r="AW44" s="4" t="s">
        <v>143</v>
      </c>
      <c r="AX44" s="4" t="str">
        <f t="shared" si="1"/>
        <v>No</v>
      </c>
      <c r="AY44">
        <f>COUNTIFS([1]Sheet1!$K:$K, B44, [1]Sheet1!$N:$N, "No")</f>
        <v>1</v>
      </c>
      <c r="AZ44">
        <f>COUNTIFS([1]Sheet1!$K:$K, B44, [1]Sheet1!$O:$O, "Yes")</f>
        <v>0</v>
      </c>
    </row>
    <row r="45" spans="1:52" x14ac:dyDescent="0.35">
      <c r="A45" s="2" t="s">
        <v>77</v>
      </c>
      <c r="B45" s="3" t="s">
        <v>145</v>
      </c>
      <c r="C45" s="4" t="s">
        <v>146</v>
      </c>
      <c r="G45" s="4" t="s">
        <v>145</v>
      </c>
      <c r="I45" s="4" t="s">
        <v>60</v>
      </c>
      <c r="J45" s="4" t="s">
        <v>55</v>
      </c>
      <c r="K45" s="4" t="s">
        <v>55</v>
      </c>
      <c r="S45" s="4" t="s">
        <v>0</v>
      </c>
      <c r="T45" s="4" t="s">
        <v>67</v>
      </c>
      <c r="W45" s="4" t="s">
        <v>69</v>
      </c>
      <c r="Y45" t="str">
        <f t="shared" si="0"/>
        <v/>
      </c>
      <c r="Z45" s="4" t="s">
        <v>69</v>
      </c>
      <c r="AA45" s="4" t="s">
        <v>147</v>
      </c>
      <c r="AC45" s="4" t="s">
        <v>51</v>
      </c>
      <c r="AE45" s="4" t="s">
        <v>55</v>
      </c>
      <c r="AF45" s="4" t="s">
        <v>55</v>
      </c>
      <c r="AT45" s="4" t="s">
        <v>51</v>
      </c>
      <c r="AU45" s="4" t="s">
        <v>52</v>
      </c>
      <c r="AV45" s="4" t="s">
        <v>128</v>
      </c>
      <c r="AW45" s="4" t="s">
        <v>127</v>
      </c>
      <c r="AX45" s="4" t="str">
        <f t="shared" si="1"/>
        <v>No</v>
      </c>
      <c r="AY45">
        <f>COUNTIFS([1]Sheet1!$K:$K, B45, [1]Sheet1!$N:$N, "No")</f>
        <v>1</v>
      </c>
      <c r="AZ45">
        <f>COUNTIFS([1]Sheet1!$K:$K, B45, [1]Sheet1!$O:$O, "Yes")</f>
        <v>0</v>
      </c>
    </row>
    <row r="46" spans="1:52" x14ac:dyDescent="0.35">
      <c r="A46" s="2" t="s">
        <v>77</v>
      </c>
      <c r="B46" s="3" t="s">
        <v>148</v>
      </c>
      <c r="C46" s="4" t="s">
        <v>149</v>
      </c>
      <c r="G46" s="4" t="s">
        <v>148</v>
      </c>
      <c r="I46" s="4" t="s">
        <v>60</v>
      </c>
      <c r="J46" s="4" t="s">
        <v>55</v>
      </c>
      <c r="K46" s="4" t="s">
        <v>55</v>
      </c>
      <c r="T46" s="4" t="s">
        <v>67</v>
      </c>
      <c r="W46" s="4" t="s">
        <v>69</v>
      </c>
      <c r="Y46" t="str">
        <f t="shared" si="0"/>
        <v/>
      </c>
      <c r="Z46" s="4" t="s">
        <v>69</v>
      </c>
      <c r="AA46" s="4" t="s">
        <v>118</v>
      </c>
      <c r="AC46" s="4" t="s">
        <v>51</v>
      </c>
      <c r="AE46" s="4" t="s">
        <v>55</v>
      </c>
      <c r="AF46" s="4" t="s">
        <v>55</v>
      </c>
      <c r="AT46" s="4" t="s">
        <v>51</v>
      </c>
      <c r="AU46" s="4" t="s">
        <v>52</v>
      </c>
      <c r="AV46" s="4" t="s">
        <v>128</v>
      </c>
      <c r="AW46" s="4" t="s">
        <v>127</v>
      </c>
      <c r="AX46" s="4" t="str">
        <f t="shared" si="1"/>
        <v>No</v>
      </c>
      <c r="AY46">
        <f>COUNTIFS([1]Sheet1!$K:$K, B46, [1]Sheet1!$N:$N, "No")</f>
        <v>1</v>
      </c>
      <c r="AZ46">
        <f>COUNTIFS([1]Sheet1!$K:$K, B46, [1]Sheet1!$O:$O, "Yes")</f>
        <v>0</v>
      </c>
    </row>
    <row r="47" spans="1:52" x14ac:dyDescent="0.35">
      <c r="A47" s="2" t="s">
        <v>79</v>
      </c>
      <c r="B47" s="3" t="s">
        <v>150</v>
      </c>
      <c r="C47" s="4" t="s">
        <v>89</v>
      </c>
      <c r="D47" s="4" t="s">
        <v>64</v>
      </c>
      <c r="G47" s="4" t="s">
        <v>150</v>
      </c>
      <c r="R47" s="4" t="s">
        <v>66</v>
      </c>
      <c r="Y47" t="str">
        <f t="shared" si="0"/>
        <v/>
      </c>
      <c r="AG47" s="4" t="s">
        <v>81</v>
      </c>
      <c r="AT47" s="4" t="s">
        <v>51</v>
      </c>
      <c r="AU47" s="4" t="s">
        <v>52</v>
      </c>
      <c r="AV47" s="4" t="s">
        <v>148</v>
      </c>
      <c r="AW47" s="4" t="s">
        <v>149</v>
      </c>
      <c r="AX47" s="4" t="str">
        <f t="shared" si="1"/>
        <v>No</v>
      </c>
      <c r="AY47">
        <f>COUNTIFS([1]Sheet1!$K:$K, B47, [1]Sheet1!$N:$N, "No")</f>
        <v>1</v>
      </c>
      <c r="AZ47">
        <f>COUNTIFS([1]Sheet1!$K:$K, B47, [1]Sheet1!$O:$O, "Yes")</f>
        <v>0</v>
      </c>
    </row>
    <row r="48" spans="1:52" x14ac:dyDescent="0.35">
      <c r="A48" s="2" t="s">
        <v>77</v>
      </c>
      <c r="B48" s="3" t="s">
        <v>151</v>
      </c>
      <c r="C48" s="4" t="s">
        <v>152</v>
      </c>
      <c r="G48" s="4" t="s">
        <v>151</v>
      </c>
      <c r="I48" s="4" t="s">
        <v>60</v>
      </c>
      <c r="J48" s="4" t="s">
        <v>55</v>
      </c>
      <c r="K48" s="4" t="s">
        <v>55</v>
      </c>
      <c r="T48" s="4" t="s">
        <v>67</v>
      </c>
      <c r="W48" s="4" t="s">
        <v>69</v>
      </c>
      <c r="Y48" t="str">
        <f t="shared" si="0"/>
        <v/>
      </c>
      <c r="Z48" s="4" t="s">
        <v>69</v>
      </c>
      <c r="AA48" s="4" t="s">
        <v>153</v>
      </c>
      <c r="AC48" s="4" t="s">
        <v>51</v>
      </c>
      <c r="AE48" s="4" t="s">
        <v>55</v>
      </c>
      <c r="AF48" s="4" t="s">
        <v>55</v>
      </c>
      <c r="AT48" s="4" t="s">
        <v>51</v>
      </c>
      <c r="AU48" s="4" t="s">
        <v>52</v>
      </c>
      <c r="AV48" s="4" t="s">
        <v>128</v>
      </c>
      <c r="AW48" s="4" t="s">
        <v>127</v>
      </c>
      <c r="AX48" s="4" t="str">
        <f t="shared" si="1"/>
        <v>No</v>
      </c>
      <c r="AY48">
        <f>COUNTIFS([1]Sheet1!$K:$K, B48, [1]Sheet1!$N:$N, "No")</f>
        <v>1</v>
      </c>
      <c r="AZ48">
        <f>COUNTIFS([1]Sheet1!$K:$K, B48, [1]Sheet1!$O:$O, "Yes")</f>
        <v>0</v>
      </c>
    </row>
    <row r="49" spans="1:52" x14ac:dyDescent="0.35">
      <c r="A49" s="2" t="s">
        <v>154</v>
      </c>
      <c r="B49" s="3" t="s">
        <v>155</v>
      </c>
      <c r="G49" s="4" t="s">
        <v>156</v>
      </c>
      <c r="I49" s="4" t="s">
        <v>66</v>
      </c>
      <c r="J49" s="4" t="s">
        <v>55</v>
      </c>
      <c r="K49" s="4" t="s">
        <v>55</v>
      </c>
      <c r="V49" s="4" t="s">
        <v>55</v>
      </c>
      <c r="Y49" t="str">
        <f t="shared" si="0"/>
        <v/>
      </c>
      <c r="AI49" s="4" t="s">
        <v>126</v>
      </c>
      <c r="AK49" s="4" t="s">
        <v>66</v>
      </c>
      <c r="AL49" s="4" t="s">
        <v>157</v>
      </c>
      <c r="AM49" s="4" t="s">
        <v>68</v>
      </c>
      <c r="AN49" s="4" t="s">
        <v>113</v>
      </c>
      <c r="AO49" s="4" t="s">
        <v>158</v>
      </c>
      <c r="AP49" s="4" t="s">
        <v>51</v>
      </c>
      <c r="AQ49" s="4" t="s">
        <v>159</v>
      </c>
      <c r="AR49" s="4" t="s">
        <v>68</v>
      </c>
      <c r="AT49" s="4" t="s">
        <v>51</v>
      </c>
      <c r="AU49" s="4" t="s">
        <v>52</v>
      </c>
      <c r="AV49" s="4" t="s">
        <v>160</v>
      </c>
      <c r="AW49" s="4" t="s">
        <v>154</v>
      </c>
      <c r="AX49" s="4" t="str">
        <f t="shared" si="1"/>
        <v>No</v>
      </c>
      <c r="AY49">
        <f>COUNTIFS([1]Sheet1!$K:$K, B49, [1]Sheet1!$N:$N, "No")</f>
        <v>1</v>
      </c>
      <c r="AZ49">
        <f>COUNTIFS([1]Sheet1!$K:$K, B49, [1]Sheet1!$O:$O, "Yes")</f>
        <v>0</v>
      </c>
    </row>
    <row r="50" spans="1:52" x14ac:dyDescent="0.35">
      <c r="A50" s="2" t="s">
        <v>154</v>
      </c>
      <c r="B50" s="3" t="s">
        <v>161</v>
      </c>
      <c r="G50" s="4" t="s">
        <v>162</v>
      </c>
      <c r="I50" s="4" t="s">
        <v>66</v>
      </c>
      <c r="J50" s="4" t="s">
        <v>55</v>
      </c>
      <c r="K50" s="4" t="s">
        <v>55</v>
      </c>
      <c r="V50" s="4" t="s">
        <v>55</v>
      </c>
      <c r="Y50" t="str">
        <f t="shared" si="0"/>
        <v/>
      </c>
      <c r="AI50" s="4" t="s">
        <v>126</v>
      </c>
      <c r="AK50" s="4" t="s">
        <v>66</v>
      </c>
      <c r="AL50" s="4" t="s">
        <v>157</v>
      </c>
      <c r="AM50" s="4" t="s">
        <v>68</v>
      </c>
      <c r="AN50" s="4" t="s">
        <v>97</v>
      </c>
      <c r="AO50" s="4" t="s">
        <v>163</v>
      </c>
      <c r="AP50" s="4" t="s">
        <v>51</v>
      </c>
      <c r="AQ50" s="4" t="s">
        <v>159</v>
      </c>
      <c r="AR50" s="4" t="s">
        <v>68</v>
      </c>
      <c r="AT50" s="4" t="s">
        <v>51</v>
      </c>
      <c r="AU50" s="4" t="s">
        <v>52</v>
      </c>
      <c r="AV50" s="4" t="s">
        <v>160</v>
      </c>
      <c r="AW50" s="4" t="s">
        <v>154</v>
      </c>
      <c r="AX50" s="4" t="str">
        <f t="shared" si="1"/>
        <v>No</v>
      </c>
      <c r="AY50">
        <f>COUNTIFS([1]Sheet1!$K:$K, B50, [1]Sheet1!$N:$N, "No")</f>
        <v>1</v>
      </c>
      <c r="AZ50">
        <f>COUNTIFS([1]Sheet1!$K:$K, B50, [1]Sheet1!$O:$O, "Yes")</f>
        <v>0</v>
      </c>
    </row>
    <row r="51" spans="1:52" x14ac:dyDescent="0.35">
      <c r="A51" s="2" t="s">
        <v>154</v>
      </c>
      <c r="B51" s="3" t="s">
        <v>164</v>
      </c>
      <c r="G51" s="4" t="s">
        <v>165</v>
      </c>
      <c r="I51" s="4" t="s">
        <v>66</v>
      </c>
      <c r="J51" s="4" t="s">
        <v>55</v>
      </c>
      <c r="K51" s="4" t="s">
        <v>55</v>
      </c>
      <c r="V51" s="4" t="s">
        <v>55</v>
      </c>
      <c r="Y51" t="str">
        <f t="shared" si="0"/>
        <v/>
      </c>
      <c r="AI51" s="4" t="s">
        <v>126</v>
      </c>
      <c r="AK51" s="4" t="s">
        <v>66</v>
      </c>
      <c r="AL51" s="4" t="s">
        <v>157</v>
      </c>
      <c r="AM51" s="4" t="s">
        <v>68</v>
      </c>
      <c r="AN51" s="4" t="s">
        <v>85</v>
      </c>
      <c r="AO51" s="4" t="s">
        <v>166</v>
      </c>
      <c r="AP51" s="4" t="s">
        <v>167</v>
      </c>
      <c r="AQ51" s="4" t="s">
        <v>159</v>
      </c>
      <c r="AR51" s="4" t="s">
        <v>68</v>
      </c>
      <c r="AT51" s="4" t="s">
        <v>51</v>
      </c>
      <c r="AU51" s="4" t="s">
        <v>52</v>
      </c>
      <c r="AV51" s="4" t="s">
        <v>160</v>
      </c>
      <c r="AW51" s="4" t="s">
        <v>154</v>
      </c>
      <c r="AX51" s="4" t="str">
        <f t="shared" si="1"/>
        <v>No</v>
      </c>
      <c r="AY51">
        <f>COUNTIFS([1]Sheet1!$K:$K, B51, [1]Sheet1!$N:$N, "No")</f>
        <v>1</v>
      </c>
      <c r="AZ51">
        <f>COUNTIFS([1]Sheet1!$K:$K, B51, [1]Sheet1!$O:$O, "Yes")</f>
        <v>0</v>
      </c>
    </row>
    <row r="52" spans="1:52" x14ac:dyDescent="0.35">
      <c r="A52" s="2" t="s">
        <v>154</v>
      </c>
      <c r="B52" s="3" t="s">
        <v>168</v>
      </c>
      <c r="G52" s="4" t="s">
        <v>169</v>
      </c>
      <c r="I52" s="4" t="s">
        <v>66</v>
      </c>
      <c r="J52" s="4" t="s">
        <v>55</v>
      </c>
      <c r="K52" s="4" t="s">
        <v>55</v>
      </c>
      <c r="V52" s="4" t="s">
        <v>55</v>
      </c>
      <c r="Y52" t="str">
        <f t="shared" si="0"/>
        <v/>
      </c>
      <c r="AI52" s="4" t="s">
        <v>97</v>
      </c>
      <c r="AK52" s="4" t="s">
        <v>66</v>
      </c>
      <c r="AL52" s="4" t="s">
        <v>157</v>
      </c>
      <c r="AM52" s="4" t="s">
        <v>68</v>
      </c>
      <c r="AN52" s="4" t="s">
        <v>85</v>
      </c>
      <c r="AO52" s="4" t="s">
        <v>170</v>
      </c>
      <c r="AP52" s="4" t="s">
        <v>171</v>
      </c>
      <c r="AQ52" s="4" t="s">
        <v>159</v>
      </c>
      <c r="AR52" s="4" t="s">
        <v>68</v>
      </c>
      <c r="AT52" s="4" t="s">
        <v>51</v>
      </c>
      <c r="AU52" s="4" t="s">
        <v>52</v>
      </c>
      <c r="AV52" s="4" t="s">
        <v>160</v>
      </c>
      <c r="AW52" s="4" t="s">
        <v>154</v>
      </c>
      <c r="AX52" s="4" t="str">
        <f t="shared" si="1"/>
        <v>No</v>
      </c>
      <c r="AY52">
        <f>COUNTIFS([1]Sheet1!$K:$K, B52, [1]Sheet1!$N:$N, "No")</f>
        <v>1</v>
      </c>
      <c r="AZ52">
        <f>COUNTIFS([1]Sheet1!$K:$K, B52, [1]Sheet1!$O:$O, "Yes")</f>
        <v>0</v>
      </c>
    </row>
    <row r="53" spans="1:52" x14ac:dyDescent="0.35">
      <c r="A53" s="2" t="s">
        <v>154</v>
      </c>
      <c r="B53" s="3" t="s">
        <v>172</v>
      </c>
      <c r="G53" s="4" t="s">
        <v>173</v>
      </c>
      <c r="I53" s="4" t="s">
        <v>66</v>
      </c>
      <c r="J53" s="4" t="s">
        <v>55</v>
      </c>
      <c r="K53" s="4" t="s">
        <v>55</v>
      </c>
      <c r="V53" s="4" t="s">
        <v>55</v>
      </c>
      <c r="Y53" t="str">
        <f t="shared" si="0"/>
        <v/>
      </c>
      <c r="AI53" s="4" t="s">
        <v>126</v>
      </c>
      <c r="AK53" s="4" t="s">
        <v>66</v>
      </c>
      <c r="AL53" s="4" t="s">
        <v>157</v>
      </c>
      <c r="AM53" s="4" t="s">
        <v>68</v>
      </c>
      <c r="AN53" s="4" t="s">
        <v>57</v>
      </c>
      <c r="AO53" s="4" t="s">
        <v>174</v>
      </c>
      <c r="AP53" s="4" t="s">
        <v>167</v>
      </c>
      <c r="AQ53" s="4" t="s">
        <v>159</v>
      </c>
      <c r="AR53" s="4" t="s">
        <v>68</v>
      </c>
      <c r="AT53" s="4" t="s">
        <v>51</v>
      </c>
      <c r="AU53" s="4" t="s">
        <v>52</v>
      </c>
      <c r="AV53" s="4" t="s">
        <v>160</v>
      </c>
      <c r="AW53" s="4" t="s">
        <v>154</v>
      </c>
      <c r="AX53" s="4" t="str">
        <f t="shared" si="1"/>
        <v>No</v>
      </c>
      <c r="AY53">
        <f>COUNTIFS([1]Sheet1!$K:$K, B53, [1]Sheet1!$N:$N, "No")</f>
        <v>1</v>
      </c>
      <c r="AZ53">
        <f>COUNTIFS([1]Sheet1!$K:$K, B53, [1]Sheet1!$O:$O, "Yes")</f>
        <v>0</v>
      </c>
    </row>
    <row r="54" spans="1:52" x14ac:dyDescent="0.35">
      <c r="A54" s="2" t="s">
        <v>154</v>
      </c>
      <c r="B54" s="3" t="s">
        <v>175</v>
      </c>
      <c r="G54" s="4" t="s">
        <v>176</v>
      </c>
      <c r="I54" s="4" t="s">
        <v>66</v>
      </c>
      <c r="J54" s="4" t="s">
        <v>55</v>
      </c>
      <c r="K54" s="4" t="s">
        <v>55</v>
      </c>
      <c r="V54" s="4" t="s">
        <v>55</v>
      </c>
      <c r="Y54" t="str">
        <f t="shared" si="0"/>
        <v/>
      </c>
      <c r="AI54" s="4" t="s">
        <v>113</v>
      </c>
      <c r="AK54" s="4" t="s">
        <v>66</v>
      </c>
      <c r="AL54" s="4" t="s">
        <v>157</v>
      </c>
      <c r="AM54" s="4" t="s">
        <v>68</v>
      </c>
      <c r="AN54" s="4" t="s">
        <v>57</v>
      </c>
      <c r="AO54" s="4" t="s">
        <v>177</v>
      </c>
      <c r="AP54" s="4" t="s">
        <v>171</v>
      </c>
      <c r="AQ54" s="4" t="s">
        <v>159</v>
      </c>
      <c r="AR54" s="4" t="s">
        <v>68</v>
      </c>
      <c r="AT54" s="4" t="s">
        <v>51</v>
      </c>
      <c r="AU54" s="4" t="s">
        <v>52</v>
      </c>
      <c r="AV54" s="4" t="s">
        <v>160</v>
      </c>
      <c r="AW54" s="4" t="s">
        <v>154</v>
      </c>
      <c r="AX54" s="4" t="str">
        <f t="shared" si="1"/>
        <v>No</v>
      </c>
      <c r="AY54">
        <f>COUNTIFS([1]Sheet1!$K:$K, B54, [1]Sheet1!$N:$N, "No")</f>
        <v>1</v>
      </c>
      <c r="AZ54">
        <f>COUNTIFS([1]Sheet1!$K:$K, B54, [1]Sheet1!$O:$O, "Yes")</f>
        <v>0</v>
      </c>
    </row>
    <row r="55" spans="1:52" x14ac:dyDescent="0.35">
      <c r="A55" s="2" t="s">
        <v>154</v>
      </c>
      <c r="B55" s="3" t="s">
        <v>178</v>
      </c>
      <c r="G55" s="4" t="s">
        <v>179</v>
      </c>
      <c r="I55" s="4" t="s">
        <v>66</v>
      </c>
      <c r="J55" s="4" t="s">
        <v>55</v>
      </c>
      <c r="K55" s="4" t="s">
        <v>55</v>
      </c>
      <c r="V55" s="4" t="s">
        <v>55</v>
      </c>
      <c r="Y55" t="str">
        <f t="shared" si="0"/>
        <v/>
      </c>
      <c r="AI55" s="4" t="s">
        <v>85</v>
      </c>
      <c r="AK55" s="4" t="s">
        <v>66</v>
      </c>
      <c r="AL55" s="4" t="s">
        <v>157</v>
      </c>
      <c r="AM55" s="4" t="s">
        <v>68</v>
      </c>
      <c r="AN55" s="4" t="s">
        <v>57</v>
      </c>
      <c r="AO55" s="4" t="s">
        <v>93</v>
      </c>
      <c r="AP55" s="4" t="s">
        <v>51</v>
      </c>
      <c r="AQ55" s="4" t="s">
        <v>159</v>
      </c>
      <c r="AR55" s="4" t="s">
        <v>68</v>
      </c>
      <c r="AT55" s="4" t="s">
        <v>51</v>
      </c>
      <c r="AU55" s="4" t="s">
        <v>52</v>
      </c>
      <c r="AV55" s="4" t="s">
        <v>160</v>
      </c>
      <c r="AW55" s="4" t="s">
        <v>154</v>
      </c>
      <c r="AX55" s="4" t="str">
        <f t="shared" si="1"/>
        <v>No</v>
      </c>
      <c r="AY55">
        <f>COUNTIFS([1]Sheet1!$K:$K, B55, [1]Sheet1!$N:$N, "No")</f>
        <v>1</v>
      </c>
      <c r="AZ55">
        <f>COUNTIFS([1]Sheet1!$K:$K, B55, [1]Sheet1!$O:$O, "Yes")</f>
        <v>0</v>
      </c>
    </row>
  </sheetData>
  <autoFilter ref="A1:AW5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5" x14ac:dyDescent="0.35"/>
  <cols>
    <col min="1" max="1" width="11" bestFit="1" customWidth="1"/>
    <col min="2" max="2" width="6.36328125" bestFit="1" customWidth="1"/>
    <col min="3" max="3" width="12.6328125" bestFit="1" customWidth="1"/>
    <col min="4" max="4" width="16.08984375" bestFit="1" customWidth="1"/>
    <col min="5" max="5" width="4.54296875" bestFit="1" customWidth="1"/>
    <col min="6" max="6" width="11.36328125" bestFit="1" customWidth="1"/>
  </cols>
  <sheetData>
    <row r="1" spans="1:6" x14ac:dyDescent="0.35">
      <c r="A1" s="5" t="s">
        <v>180</v>
      </c>
    </row>
    <row r="3" spans="1:6" x14ac:dyDescent="0.35">
      <c r="A3" s="2" t="s">
        <v>1</v>
      </c>
      <c r="B3" s="2" t="s">
        <v>2</v>
      </c>
      <c r="C3" s="2" t="s">
        <v>181</v>
      </c>
      <c r="D3" s="2" t="s">
        <v>182</v>
      </c>
      <c r="E3" s="1" t="s">
        <v>183</v>
      </c>
      <c r="F3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/>
  </sheetViews>
  <sheetFormatPr defaultRowHeight="14.5" x14ac:dyDescent="0.35"/>
  <cols>
    <col min="1" max="1" width="21.6328125" bestFit="1" customWidth="1"/>
    <col min="2" max="2" width="2.90625" bestFit="1" customWidth="1"/>
    <col min="3" max="3" width="9.26953125" bestFit="1" customWidth="1"/>
    <col min="4" max="4" width="7.7265625" bestFit="1" customWidth="1"/>
    <col min="5" max="5" width="11.90625" bestFit="1" customWidth="1"/>
    <col min="6" max="6" width="8.90625" bestFit="1" customWidth="1"/>
    <col min="7" max="7" width="8.7265625" bestFit="1" customWidth="1"/>
    <col min="8" max="8" width="4.7265625" bestFit="1" customWidth="1"/>
    <col min="9" max="9" width="5.26953125" bestFit="1" customWidth="1"/>
    <col min="10" max="10" width="11.36328125" bestFit="1" customWidth="1"/>
    <col min="11" max="11" width="12.6328125" bestFit="1" customWidth="1"/>
    <col min="12" max="12" width="10.08984375" bestFit="1" customWidth="1"/>
    <col min="13" max="13" width="9.453125" bestFit="1" customWidth="1"/>
    <col min="14" max="14" width="12.90625" bestFit="1" customWidth="1"/>
    <col min="15" max="15" width="8.453125" bestFit="1" customWidth="1"/>
  </cols>
  <sheetData>
    <row r="1" spans="1:15" x14ac:dyDescent="0.35">
      <c r="A1" s="5" t="s">
        <v>184</v>
      </c>
    </row>
    <row r="3" spans="1:15" x14ac:dyDescent="0.35">
      <c r="A3" s="2" t="s">
        <v>185</v>
      </c>
      <c r="B3" s="2" t="s">
        <v>1</v>
      </c>
      <c r="C3" s="1" t="s">
        <v>6</v>
      </c>
      <c r="D3" s="1" t="s">
        <v>2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4</v>
      </c>
      <c r="K3" s="1" t="s">
        <v>14</v>
      </c>
      <c r="L3" s="1" t="s">
        <v>15</v>
      </c>
      <c r="M3" s="1" t="s">
        <v>47</v>
      </c>
      <c r="N3" s="1" t="s">
        <v>48</v>
      </c>
      <c r="O3" s="1" t="s">
        <v>49</v>
      </c>
    </row>
    <row r="4" spans="1:15" x14ac:dyDescent="0.35">
      <c r="B4" s="3" t="s">
        <v>54</v>
      </c>
      <c r="C4" s="4" t="s">
        <v>54</v>
      </c>
      <c r="D4" s="4" t="s">
        <v>52</v>
      </c>
      <c r="F4" s="4" t="s">
        <v>60</v>
      </c>
      <c r="G4" s="4" t="s">
        <v>55</v>
      </c>
      <c r="H4" s="4" t="s">
        <v>55</v>
      </c>
      <c r="I4" s="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1"/>
  <sheetViews>
    <sheetView topLeftCell="A7" workbookViewId="0">
      <selection activeCell="B30" sqref="B30:B31"/>
    </sheetView>
  </sheetViews>
  <sheetFormatPr defaultRowHeight="14.5" x14ac:dyDescent="0.35"/>
  <cols>
    <col min="1" max="1" width="32" customWidth="1"/>
    <col min="2" max="2" width="21.90625" bestFit="1" customWidth="1"/>
    <col min="3" max="3" width="5.1796875" bestFit="1" customWidth="1"/>
  </cols>
  <sheetData>
    <row r="1" spans="1:3" x14ac:dyDescent="0.35">
      <c r="A1" s="6" t="s">
        <v>186</v>
      </c>
    </row>
    <row r="2" spans="1:3" x14ac:dyDescent="0.35">
      <c r="A2" s="4" t="s">
        <v>187</v>
      </c>
    </row>
    <row r="3" spans="1:3" x14ac:dyDescent="0.35">
      <c r="A3" s="4" t="s">
        <v>189</v>
      </c>
      <c r="B3" s="4" t="s">
        <v>57</v>
      </c>
      <c r="C3" s="4" t="s">
        <v>188</v>
      </c>
    </row>
    <row r="4" spans="1:3" x14ac:dyDescent="0.35">
      <c r="A4" s="4" t="s">
        <v>51</v>
      </c>
      <c r="B4" s="4" t="s">
        <v>190</v>
      </c>
    </row>
    <row r="5" spans="1:3" x14ac:dyDescent="0.35">
      <c r="A5" s="4" t="s">
        <v>54</v>
      </c>
      <c r="B5" s="4" t="s">
        <v>191</v>
      </c>
    </row>
    <row r="6" spans="1:3" x14ac:dyDescent="0.35">
      <c r="A6" s="4" t="s">
        <v>57</v>
      </c>
      <c r="B6" s="4" t="s">
        <v>192</v>
      </c>
    </row>
    <row r="7" spans="1:3" x14ac:dyDescent="0.35">
      <c r="A7" s="4" t="s">
        <v>59</v>
      </c>
      <c r="B7" s="4" t="s">
        <v>193</v>
      </c>
    </row>
    <row r="8" spans="1:3" x14ac:dyDescent="0.35">
      <c r="A8" s="4" t="s">
        <v>62</v>
      </c>
      <c r="B8" s="4" t="s">
        <v>194</v>
      </c>
    </row>
    <row r="9" spans="1:3" x14ac:dyDescent="0.35">
      <c r="A9" s="4" t="s">
        <v>70</v>
      </c>
      <c r="B9" s="4" t="s">
        <v>195</v>
      </c>
    </row>
    <row r="10" spans="1:3" x14ac:dyDescent="0.35">
      <c r="A10" s="4" t="s">
        <v>73</v>
      </c>
      <c r="B10" s="4" t="s">
        <v>196</v>
      </c>
    </row>
    <row r="11" spans="1:3" x14ac:dyDescent="0.35">
      <c r="A11" s="4" t="s">
        <v>75</v>
      </c>
      <c r="B11" s="4" t="s">
        <v>197</v>
      </c>
    </row>
    <row r="12" spans="1:3" x14ac:dyDescent="0.35">
      <c r="A12" s="4" t="s">
        <v>78</v>
      </c>
      <c r="B12" s="4" t="s">
        <v>198</v>
      </c>
    </row>
    <row r="13" spans="1:3" x14ac:dyDescent="0.35">
      <c r="A13" s="4" t="s">
        <v>80</v>
      </c>
      <c r="B13" s="4" t="s">
        <v>199</v>
      </c>
    </row>
    <row r="14" spans="1:3" x14ac:dyDescent="0.35">
      <c r="A14" s="4" t="s">
        <v>82</v>
      </c>
      <c r="B14" s="4" t="s">
        <v>200</v>
      </c>
    </row>
    <row r="15" spans="1:3" x14ac:dyDescent="0.35">
      <c r="A15" s="4" t="s">
        <v>83</v>
      </c>
      <c r="B15" s="4" t="s">
        <v>201</v>
      </c>
    </row>
    <row r="16" spans="1:3" x14ac:dyDescent="0.35">
      <c r="A16" s="4" t="s">
        <v>84</v>
      </c>
      <c r="B16" s="4" t="s">
        <v>202</v>
      </c>
    </row>
    <row r="17" spans="1:2" x14ac:dyDescent="0.35">
      <c r="A17" s="4" t="s">
        <v>85</v>
      </c>
      <c r="B17" s="4" t="s">
        <v>203</v>
      </c>
    </row>
    <row r="18" spans="1:2" x14ac:dyDescent="0.35">
      <c r="A18" s="4" t="s">
        <v>87</v>
      </c>
      <c r="B18" s="4" t="s">
        <v>204</v>
      </c>
    </row>
    <row r="19" spans="1:2" x14ac:dyDescent="0.35">
      <c r="A19" s="4" t="s">
        <v>88</v>
      </c>
      <c r="B19" s="4" t="s">
        <v>205</v>
      </c>
    </row>
    <row r="20" spans="1:2" x14ac:dyDescent="0.35">
      <c r="A20" s="4" t="s">
        <v>90</v>
      </c>
      <c r="B20" s="4" t="s">
        <v>206</v>
      </c>
    </row>
    <row r="21" spans="1:2" x14ac:dyDescent="0.35">
      <c r="A21" s="4" t="s">
        <v>91</v>
      </c>
      <c r="B21" s="4" t="s">
        <v>207</v>
      </c>
    </row>
    <row r="22" spans="1:2" x14ac:dyDescent="0.35">
      <c r="A22" s="4" t="s">
        <v>92</v>
      </c>
      <c r="B22" s="4" t="s">
        <v>208</v>
      </c>
    </row>
    <row r="23" spans="1:2" x14ac:dyDescent="0.35">
      <c r="A23" s="4" t="s">
        <v>95</v>
      </c>
      <c r="B23" s="4" t="s">
        <v>209</v>
      </c>
    </row>
    <row r="24" spans="1:2" x14ac:dyDescent="0.35">
      <c r="A24" s="4" t="s">
        <v>97</v>
      </c>
      <c r="B24" s="4" t="s">
        <v>210</v>
      </c>
    </row>
    <row r="25" spans="1:2" x14ac:dyDescent="0.35">
      <c r="A25" s="4" t="s">
        <v>99</v>
      </c>
      <c r="B25" s="4" t="s">
        <v>211</v>
      </c>
    </row>
    <row r="26" spans="1:2" x14ac:dyDescent="0.35">
      <c r="A26" s="4" t="s">
        <v>100</v>
      </c>
      <c r="B26" s="4" t="s">
        <v>212</v>
      </c>
    </row>
    <row r="27" spans="1:2" x14ac:dyDescent="0.35">
      <c r="A27" s="4" t="s">
        <v>101</v>
      </c>
      <c r="B27" s="4" t="s">
        <v>213</v>
      </c>
    </row>
    <row r="28" spans="1:2" x14ac:dyDescent="0.35">
      <c r="A28" s="4" t="s">
        <v>104</v>
      </c>
      <c r="B28" s="4" t="s">
        <v>214</v>
      </c>
    </row>
    <row r="29" spans="1:2" x14ac:dyDescent="0.35">
      <c r="A29" s="4" t="s">
        <v>107</v>
      </c>
      <c r="B29" s="4" t="s">
        <v>215</v>
      </c>
    </row>
    <row r="30" spans="1:2" x14ac:dyDescent="0.35">
      <c r="A30" s="4" t="s">
        <v>110</v>
      </c>
      <c r="B30" s="4" t="s">
        <v>216</v>
      </c>
    </row>
    <row r="31" spans="1:2" x14ac:dyDescent="0.35">
      <c r="A31" s="4" t="s">
        <v>112</v>
      </c>
      <c r="B31" s="4" t="s">
        <v>217</v>
      </c>
    </row>
    <row r="32" spans="1:2" x14ac:dyDescent="0.35">
      <c r="A32" s="4" t="s">
        <v>113</v>
      </c>
      <c r="B32" s="4" t="s">
        <v>218</v>
      </c>
    </row>
    <row r="33" spans="1:2" x14ac:dyDescent="0.35">
      <c r="A33" s="4" t="s">
        <v>115</v>
      </c>
      <c r="B33" s="4" t="s">
        <v>219</v>
      </c>
    </row>
    <row r="34" spans="1:2" x14ac:dyDescent="0.35">
      <c r="A34" s="4" t="s">
        <v>116</v>
      </c>
      <c r="B34" s="4" t="s">
        <v>220</v>
      </c>
    </row>
    <row r="35" spans="1:2" x14ac:dyDescent="0.35">
      <c r="A35" s="4" t="s">
        <v>117</v>
      </c>
      <c r="B35" s="4" t="s">
        <v>221</v>
      </c>
    </row>
    <row r="36" spans="1:2" x14ac:dyDescent="0.35">
      <c r="A36" s="4" t="s">
        <v>119</v>
      </c>
      <c r="B36" s="4" t="s">
        <v>222</v>
      </c>
    </row>
    <row r="37" spans="1:2" x14ac:dyDescent="0.35">
      <c r="A37" s="4" t="s">
        <v>120</v>
      </c>
      <c r="B37" s="4" t="s">
        <v>223</v>
      </c>
    </row>
    <row r="38" spans="1:2" x14ac:dyDescent="0.35">
      <c r="A38" s="4" t="s">
        <v>123</v>
      </c>
      <c r="B38" s="4" t="s">
        <v>224</v>
      </c>
    </row>
    <row r="39" spans="1:2" x14ac:dyDescent="0.35">
      <c r="A39" s="4" t="s">
        <v>125</v>
      </c>
      <c r="B39" s="4" t="s">
        <v>225</v>
      </c>
    </row>
    <row r="40" spans="1:2" x14ac:dyDescent="0.35">
      <c r="A40" s="4" t="s">
        <v>126</v>
      </c>
      <c r="B40" s="4" t="s">
        <v>226</v>
      </c>
    </row>
    <row r="41" spans="1:2" x14ac:dyDescent="0.35">
      <c r="A41" s="4" t="s">
        <v>128</v>
      </c>
      <c r="B41" s="4" t="s">
        <v>227</v>
      </c>
    </row>
    <row r="42" spans="1:2" x14ac:dyDescent="0.35">
      <c r="A42" s="4" t="s">
        <v>129</v>
      </c>
      <c r="B42" s="4" t="s">
        <v>228</v>
      </c>
    </row>
    <row r="43" spans="1:2" x14ac:dyDescent="0.35">
      <c r="A43" s="4" t="s">
        <v>130</v>
      </c>
      <c r="B43" s="4" t="s">
        <v>229</v>
      </c>
    </row>
    <row r="44" spans="1:2" x14ac:dyDescent="0.35">
      <c r="A44" s="4" t="s">
        <v>132</v>
      </c>
      <c r="B44" s="4" t="s">
        <v>230</v>
      </c>
    </row>
    <row r="45" spans="1:2" x14ac:dyDescent="0.35">
      <c r="A45" s="4" t="s">
        <v>133</v>
      </c>
      <c r="B45" s="4" t="s">
        <v>231</v>
      </c>
    </row>
    <row r="46" spans="1:2" x14ac:dyDescent="0.35">
      <c r="A46" s="4" t="s">
        <v>134</v>
      </c>
      <c r="B46" s="4" t="s">
        <v>232</v>
      </c>
    </row>
    <row r="47" spans="1:2" x14ac:dyDescent="0.35">
      <c r="A47" s="4" t="s">
        <v>135</v>
      </c>
      <c r="B47" s="4" t="s">
        <v>233</v>
      </c>
    </row>
    <row r="48" spans="1:2" x14ac:dyDescent="0.35">
      <c r="A48" s="4" t="s">
        <v>136</v>
      </c>
      <c r="B48" s="4" t="s">
        <v>234</v>
      </c>
    </row>
    <row r="49" spans="1:2" x14ac:dyDescent="0.35">
      <c r="A49" s="4" t="s">
        <v>139</v>
      </c>
      <c r="B49" s="4" t="s">
        <v>235</v>
      </c>
    </row>
    <row r="50" spans="1:2" x14ac:dyDescent="0.35">
      <c r="A50" s="4" t="s">
        <v>141</v>
      </c>
      <c r="B50" s="4" t="s">
        <v>236</v>
      </c>
    </row>
    <row r="51" spans="1:2" x14ac:dyDescent="0.35">
      <c r="A51" s="4" t="s">
        <v>142</v>
      </c>
      <c r="B51" s="4" t="s">
        <v>237</v>
      </c>
    </row>
    <row r="52" spans="1:2" x14ac:dyDescent="0.35">
      <c r="A52" s="4" t="s">
        <v>144</v>
      </c>
      <c r="B52" s="4" t="s">
        <v>238</v>
      </c>
    </row>
    <row r="53" spans="1:2" x14ac:dyDescent="0.35">
      <c r="A53" s="4" t="s">
        <v>145</v>
      </c>
      <c r="B53" s="4" t="s">
        <v>239</v>
      </c>
    </row>
    <row r="54" spans="1:2" x14ac:dyDescent="0.35">
      <c r="A54" s="4" t="s">
        <v>148</v>
      </c>
      <c r="B54" s="4" t="s">
        <v>240</v>
      </c>
    </row>
    <row r="55" spans="1:2" x14ac:dyDescent="0.35">
      <c r="A55" s="4" t="s">
        <v>150</v>
      </c>
      <c r="B55" s="4" t="s">
        <v>241</v>
      </c>
    </row>
    <row r="56" spans="1:2" x14ac:dyDescent="0.35">
      <c r="A56" s="4" t="s">
        <v>151</v>
      </c>
      <c r="B56" s="4" t="s">
        <v>242</v>
      </c>
    </row>
    <row r="57" spans="1:2" x14ac:dyDescent="0.35">
      <c r="A57" s="4" t="s">
        <v>155</v>
      </c>
      <c r="B57" s="4" t="s">
        <v>243</v>
      </c>
    </row>
    <row r="58" spans="1:2" x14ac:dyDescent="0.35">
      <c r="A58" s="4" t="s">
        <v>156</v>
      </c>
      <c r="B58" s="4" t="s">
        <v>244</v>
      </c>
    </row>
    <row r="59" spans="1:2" x14ac:dyDescent="0.35">
      <c r="A59" s="4" t="s">
        <v>160</v>
      </c>
      <c r="B59" s="4" t="s">
        <v>245</v>
      </c>
    </row>
    <row r="60" spans="1:2" x14ac:dyDescent="0.35">
      <c r="A60" s="4" t="s">
        <v>161</v>
      </c>
      <c r="B60" s="4" t="s">
        <v>246</v>
      </c>
    </row>
    <row r="61" spans="1:2" x14ac:dyDescent="0.35">
      <c r="A61" s="4" t="s">
        <v>162</v>
      </c>
      <c r="B61" s="4" t="s">
        <v>247</v>
      </c>
    </row>
    <row r="62" spans="1:2" x14ac:dyDescent="0.35">
      <c r="A62" s="4" t="s">
        <v>164</v>
      </c>
      <c r="B62" s="4" t="s">
        <v>248</v>
      </c>
    </row>
    <row r="63" spans="1:2" x14ac:dyDescent="0.35">
      <c r="A63" s="4" t="s">
        <v>165</v>
      </c>
      <c r="B63" s="4" t="s">
        <v>249</v>
      </c>
    </row>
    <row r="64" spans="1:2" x14ac:dyDescent="0.35">
      <c r="A64" s="4" t="s">
        <v>168</v>
      </c>
      <c r="B64" s="4" t="s">
        <v>250</v>
      </c>
    </row>
    <row r="65" spans="1:2" x14ac:dyDescent="0.35">
      <c r="A65" s="4" t="s">
        <v>169</v>
      </c>
      <c r="B65" s="4" t="s">
        <v>251</v>
      </c>
    </row>
    <row r="66" spans="1:2" x14ac:dyDescent="0.35">
      <c r="A66" s="4" t="s">
        <v>172</v>
      </c>
      <c r="B66" s="4" t="s">
        <v>252</v>
      </c>
    </row>
    <row r="67" spans="1:2" x14ac:dyDescent="0.35">
      <c r="A67" s="4" t="s">
        <v>173</v>
      </c>
      <c r="B67" s="4" t="s">
        <v>253</v>
      </c>
    </row>
    <row r="68" spans="1:2" x14ac:dyDescent="0.35">
      <c r="A68" s="4" t="s">
        <v>175</v>
      </c>
      <c r="B68" s="4" t="s">
        <v>254</v>
      </c>
    </row>
    <row r="69" spans="1:2" x14ac:dyDescent="0.35">
      <c r="A69" s="4" t="s">
        <v>176</v>
      </c>
      <c r="B69" s="4" t="s">
        <v>255</v>
      </c>
    </row>
    <row r="70" spans="1:2" x14ac:dyDescent="0.35">
      <c r="A70" s="4" t="s">
        <v>178</v>
      </c>
      <c r="B70" s="4" t="s">
        <v>256</v>
      </c>
    </row>
    <row r="71" spans="1:2" x14ac:dyDescent="0.35">
      <c r="A71" s="4" t="s">
        <v>179</v>
      </c>
      <c r="B71" s="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domein</vt:lpstr>
      <vt:lpstr>References</vt:lpstr>
      <vt:lpstr>Diagram Parent Model</vt:lpstr>
      <vt:lpstr>System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Fien Spriet</cp:lastModifiedBy>
  <dcterms:created xsi:type="dcterms:W3CDTF">2025-11-02T14:20:17Z</dcterms:created>
  <dcterms:modified xsi:type="dcterms:W3CDTF">2025-11-02T14:43:16Z</dcterms:modified>
</cp:coreProperties>
</file>